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06 website\idiocratease-iggy.github.io\docs\Example Files\CRYSS V2.0 Input File Templates\"/>
    </mc:Choice>
  </mc:AlternateContent>
  <xr:revisionPtr revIDLastSave="0" documentId="8_{E45B0BF4-D0F0-47A3-A093-CB1F84D4347A}" xr6:coauthVersionLast="47" xr6:coauthVersionMax="47" xr10:uidLastSave="{00000000-0000-0000-0000-000000000000}"/>
  <bookViews>
    <workbookView xWindow="1248" yWindow="132" windowWidth="48780" windowHeight="16116" xr2:uid="{00000000-000D-0000-FFFF-FFFF00000000}"/>
  </bookViews>
  <sheets>
    <sheet name="CRYSS Input File V2.0" sheetId="1" r:id="rId1"/>
  </sheets>
  <calcPr calcId="181029"/>
</workbook>
</file>

<file path=xl/calcChain.xml><?xml version="1.0" encoding="utf-8"?>
<calcChain xmlns="http://schemas.openxmlformats.org/spreadsheetml/2006/main">
  <c r="F4" i="1" l="1"/>
  <c r="AC4" i="1" s="1"/>
  <c r="G4" i="1"/>
  <c r="AD4" i="1" s="1"/>
  <c r="H4" i="1"/>
  <c r="AE4" i="1" s="1"/>
  <c r="I4" i="1"/>
  <c r="AF4" i="1" s="1"/>
  <c r="F5" i="1"/>
  <c r="AC5" i="1" s="1"/>
  <c r="G5" i="1"/>
  <c r="AD5" i="1" s="1"/>
  <c r="H5" i="1"/>
  <c r="AE5" i="1" s="1"/>
  <c r="I5" i="1"/>
  <c r="AF5" i="1" s="1"/>
  <c r="F6" i="1"/>
  <c r="AC6" i="1" s="1"/>
  <c r="G6" i="1"/>
  <c r="AD6" i="1" s="1"/>
  <c r="H6" i="1"/>
  <c r="AE6" i="1" s="1"/>
  <c r="I6" i="1"/>
  <c r="AF6" i="1" s="1"/>
  <c r="F7" i="1"/>
  <c r="AC7" i="1" s="1"/>
  <c r="G7" i="1"/>
  <c r="AD7" i="1" s="1"/>
  <c r="H7" i="1"/>
  <c r="AE7" i="1" s="1"/>
  <c r="I7" i="1"/>
  <c r="AF7" i="1" s="1"/>
  <c r="F8" i="1"/>
  <c r="AC8" i="1" s="1"/>
  <c r="G8" i="1"/>
  <c r="AD8" i="1" s="1"/>
  <c r="H8" i="1"/>
  <c r="AE8" i="1" s="1"/>
  <c r="I8" i="1"/>
  <c r="AF8" i="1" s="1"/>
  <c r="F9" i="1"/>
  <c r="AC9" i="1" s="1"/>
  <c r="G9" i="1"/>
  <c r="AD9" i="1" s="1"/>
  <c r="H9" i="1"/>
  <c r="AE9" i="1" s="1"/>
  <c r="I9" i="1"/>
  <c r="AF9" i="1" s="1"/>
  <c r="F10" i="1"/>
  <c r="AC10" i="1" s="1"/>
  <c r="G10" i="1"/>
  <c r="AD10" i="1" s="1"/>
  <c r="H10" i="1"/>
  <c r="AE10" i="1" s="1"/>
  <c r="I10" i="1"/>
  <c r="AF10" i="1" s="1"/>
  <c r="F11" i="1"/>
  <c r="AC11" i="1" s="1"/>
  <c r="G11" i="1"/>
  <c r="AD11" i="1" s="1"/>
  <c r="H11" i="1"/>
  <c r="AE11" i="1" s="1"/>
  <c r="I11" i="1"/>
  <c r="AF11" i="1" s="1"/>
  <c r="F12" i="1"/>
  <c r="AC12" i="1" s="1"/>
  <c r="G12" i="1"/>
  <c r="AD12" i="1" s="1"/>
  <c r="H12" i="1"/>
  <c r="AE12" i="1" s="1"/>
  <c r="I12" i="1"/>
  <c r="AF12" i="1" s="1"/>
  <c r="F13" i="1"/>
  <c r="AC13" i="1" s="1"/>
  <c r="G13" i="1"/>
  <c r="AD13" i="1" s="1"/>
  <c r="H13" i="1"/>
  <c r="AE13" i="1" s="1"/>
  <c r="I13" i="1"/>
  <c r="AF13" i="1" s="1"/>
  <c r="F14" i="1"/>
  <c r="AC14" i="1" s="1"/>
  <c r="G14" i="1"/>
  <c r="AD14" i="1" s="1"/>
  <c r="H14" i="1"/>
  <c r="AE14" i="1" s="1"/>
  <c r="I14" i="1"/>
  <c r="AF14" i="1" s="1"/>
  <c r="F15" i="1"/>
  <c r="AC15" i="1" s="1"/>
  <c r="G15" i="1"/>
  <c r="AD15" i="1" s="1"/>
  <c r="H15" i="1"/>
  <c r="AE15" i="1" s="1"/>
  <c r="I15" i="1"/>
  <c r="AF15" i="1" s="1"/>
  <c r="F16" i="1"/>
  <c r="AC16" i="1" s="1"/>
  <c r="G16" i="1"/>
  <c r="AD16" i="1" s="1"/>
  <c r="H16" i="1"/>
  <c r="AE16" i="1" s="1"/>
  <c r="I16" i="1"/>
  <c r="AF16" i="1" s="1"/>
  <c r="F17" i="1"/>
  <c r="AC17" i="1" s="1"/>
  <c r="G17" i="1"/>
  <c r="AD17" i="1" s="1"/>
  <c r="H17" i="1"/>
  <c r="AE17" i="1" s="1"/>
  <c r="I17" i="1"/>
  <c r="AF17" i="1" s="1"/>
  <c r="G3" i="1"/>
  <c r="AD3" i="1" s="1"/>
  <c r="H3" i="1"/>
  <c r="AE3" i="1" s="1"/>
  <c r="I3" i="1"/>
  <c r="AF3" i="1" s="1"/>
  <c r="F3" i="1"/>
  <c r="AC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Smith</author>
  </authors>
  <commentList>
    <comment ref="F1" authorId="0" shapeId="0" xr:uid="{AD7D571F-3135-41F6-A0ED-4C84DCBFB9DE}">
      <text>
        <r>
          <rPr>
            <b/>
            <sz val="9"/>
            <color indexed="81"/>
            <rFont val="Tahoma"/>
            <family val="2"/>
          </rPr>
          <t xml:space="preserve">CRYSS: </t>
        </r>
        <r>
          <rPr>
            <sz val="9"/>
            <color indexed="81"/>
            <rFont val="Tahoma"/>
            <family val="2"/>
          </rPr>
          <t xml:space="preserve">Solid composition calculated from Xc, Xl and R
</t>
        </r>
      </text>
    </comment>
    <comment ref="N2" authorId="0" shapeId="0" xr:uid="{49D86233-BD3E-4F53-9F1E-F5CBC8A68E59}">
      <text>
        <r>
          <rPr>
            <b/>
            <sz val="9"/>
            <color indexed="81"/>
            <rFont val="Tahoma"/>
            <family val="2"/>
          </rPr>
          <t xml:space="preserve">CRYSS: </t>
        </r>
        <r>
          <rPr>
            <sz val="9"/>
            <color indexed="81"/>
            <rFont val="Tahoma"/>
            <family val="2"/>
          </rPr>
          <t xml:space="preserve">Data in this column can be blank if no salt former or derivative is used. Data is recognized as a string, so ensure strings are identical where they are supposed to be the same.
</t>
        </r>
      </text>
    </comment>
    <comment ref="V2" authorId="0" shapeId="0" xr:uid="{92657202-B27C-4312-8FF7-72D795ACE1E8}">
      <text>
        <r>
          <rPr>
            <b/>
            <sz val="9"/>
            <color indexed="81"/>
            <rFont val="Tahoma"/>
            <family val="2"/>
          </rPr>
          <t xml:space="preserve">CRYSS: </t>
        </r>
        <r>
          <rPr>
            <sz val="9"/>
            <color indexed="81"/>
            <rFont val="Tahoma"/>
            <family val="2"/>
          </rPr>
          <t xml:space="preserve">Recovery measured by w/w analysis of mother liquors
</t>
        </r>
      </text>
    </comment>
  </commentList>
</comments>
</file>

<file path=xl/sharedStrings.xml><?xml version="1.0" encoding="utf-8"?>
<sst xmlns="http://schemas.openxmlformats.org/spreadsheetml/2006/main" count="49" uniqueCount="33">
  <si>
    <t>Starting Composition</t>
  </si>
  <si>
    <t>Solid Composition</t>
  </si>
  <si>
    <t>Liquor Composition</t>
  </si>
  <si>
    <t>Mixture_id</t>
  </si>
  <si>
    <t>Component 1</t>
  </si>
  <si>
    <t>Component 2</t>
  </si>
  <si>
    <t>Component 3</t>
  </si>
  <si>
    <t>Component 4</t>
  </si>
  <si>
    <t>Original Solid Composition</t>
  </si>
  <si>
    <t>Deltas</t>
  </si>
  <si>
    <t>Measured Recovery</t>
  </si>
  <si>
    <t>Mix_id_001</t>
  </si>
  <si>
    <t>Mix_id_002</t>
  </si>
  <si>
    <t>Mix_id_003</t>
  </si>
  <si>
    <t>Mix_id_004</t>
  </si>
  <si>
    <t>Mix_id_005</t>
  </si>
  <si>
    <t>Mix_id_006</t>
  </si>
  <si>
    <t>Mix_id_007</t>
  </si>
  <si>
    <t>Mix_id_008</t>
  </si>
  <si>
    <t>Mix_id_009</t>
  </si>
  <si>
    <t>Mix_id_010</t>
  </si>
  <si>
    <t>Mix_id_011</t>
  </si>
  <si>
    <t>Mix_id_012</t>
  </si>
  <si>
    <t>Mix_id_013</t>
  </si>
  <si>
    <t>Mix_id_014</t>
  </si>
  <si>
    <t>Mix_id_015</t>
  </si>
  <si>
    <t>User Meta Data Section</t>
  </si>
  <si>
    <t>Salt/Derivative</t>
  </si>
  <si>
    <t>Title 1</t>
  </si>
  <si>
    <t>Title 2</t>
  </si>
  <si>
    <t>Title 3</t>
  </si>
  <si>
    <t>Title 4</t>
  </si>
  <si>
    <t>Title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</si>
</sst>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%"/>
    <numFmt numFmtId="165" formatCode="0.000"/>
    <numFmt numFmtId="170" formatCode="0.0E+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0" fontId="0" fillId="0" borderId="0" xfId="0" applyNumberFormat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8" borderId="0" xfId="0" applyNumberForma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7"/>
  <sheetViews>
    <sheetView tabSelected="1" topLeftCell="C1" workbookViewId="0">
      <pane ySplit="2" topLeftCell="A3" activePane="bottomLeft" state="frozen"/>
      <selection pane="bottomLeft" activeCell="O10" sqref="O10"/>
    </sheetView>
  </sheetViews>
  <sheetFormatPr defaultRowHeight="14.4" x14ac:dyDescent="0.3"/>
  <cols>
    <col min="1" max="13" width="14" customWidth="1"/>
    <col min="14" max="14" width="18" customWidth="1"/>
    <col min="15" max="19" width="13.5546875" customWidth="1"/>
    <col min="22" max="22" width="18" customWidth="1"/>
    <col min="24" max="27" width="15.21875" customWidth="1"/>
    <col min="29" max="32" width="16" customWidth="1"/>
  </cols>
  <sheetData>
    <row r="1" spans="1:32" x14ac:dyDescent="0.3">
      <c r="A1" s="1"/>
      <c r="B1" s="12" t="s">
        <v>0</v>
      </c>
      <c r="C1" s="11"/>
      <c r="D1" s="11"/>
      <c r="E1" s="11"/>
      <c r="F1" s="13" t="s">
        <v>1</v>
      </c>
      <c r="G1" s="11"/>
      <c r="H1" s="11"/>
      <c r="I1" s="11"/>
      <c r="J1" s="10" t="s">
        <v>2</v>
      </c>
      <c r="K1" s="11"/>
      <c r="L1" s="11"/>
      <c r="M1" s="11"/>
      <c r="N1" s="23"/>
      <c r="O1" s="24" t="s">
        <v>26</v>
      </c>
      <c r="P1" s="25"/>
      <c r="Q1" s="25"/>
      <c r="R1" s="25"/>
      <c r="S1" s="26"/>
      <c r="V1" s="5"/>
      <c r="X1" s="15" t="s">
        <v>8</v>
      </c>
      <c r="Y1" s="16"/>
      <c r="Z1" s="16"/>
      <c r="AA1" s="16"/>
      <c r="AC1" s="18" t="s">
        <v>9</v>
      </c>
      <c r="AD1" s="19"/>
      <c r="AE1" s="19"/>
      <c r="AF1" s="19"/>
    </row>
    <row r="2" spans="1:32" x14ac:dyDescent="0.3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4</v>
      </c>
      <c r="K2" s="4" t="s">
        <v>5</v>
      </c>
      <c r="L2" s="4" t="s">
        <v>6</v>
      </c>
      <c r="M2" s="4" t="s">
        <v>7</v>
      </c>
      <c r="N2" s="27" t="s">
        <v>27</v>
      </c>
      <c r="O2" s="28" t="s">
        <v>28</v>
      </c>
      <c r="P2" s="28" t="s">
        <v>29</v>
      </c>
      <c r="Q2" s="28" t="s">
        <v>30</v>
      </c>
      <c r="R2" s="28" t="s">
        <v>31</v>
      </c>
      <c r="S2" s="28" t="s">
        <v>32</v>
      </c>
      <c r="V2" s="1" t="s">
        <v>10</v>
      </c>
      <c r="X2" s="17" t="s">
        <v>4</v>
      </c>
      <c r="Y2" s="17" t="s">
        <v>5</v>
      </c>
      <c r="Z2" s="17" t="s">
        <v>6</v>
      </c>
      <c r="AA2" s="17" t="s">
        <v>7</v>
      </c>
      <c r="AC2" s="20" t="s">
        <v>4</v>
      </c>
      <c r="AD2" s="20" t="s">
        <v>5</v>
      </c>
      <c r="AE2" s="20" t="s">
        <v>6</v>
      </c>
      <c r="AF2" s="20" t="s">
        <v>7</v>
      </c>
    </row>
    <row r="3" spans="1:32" x14ac:dyDescent="0.3">
      <c r="A3" s="21" t="s">
        <v>11</v>
      </c>
      <c r="B3" s="6">
        <v>0.79632304629999995</v>
      </c>
      <c r="C3" s="6">
        <v>6.14517672E-2</v>
      </c>
      <c r="D3" s="6">
        <v>7.3988182999999999E-2</v>
      </c>
      <c r="E3" s="6">
        <v>6.8237003500000004E-2</v>
      </c>
      <c r="F3" s="22">
        <f>(B3-J3+$V3*J3)/$V3</f>
        <v>0.90065124802869889</v>
      </c>
      <c r="G3" s="22">
        <f>(C3-K3+$V3*K3)/$V3</f>
        <v>-9.8101974957017746E-12</v>
      </c>
      <c r="H3" s="22">
        <f>(D3-L3+$V3*L3)/$V3</f>
        <v>3.6539727634543814E-2</v>
      </c>
      <c r="I3" s="22">
        <f>(E3-M3+$V3*M3)/$V3</f>
        <v>6.2809024346567349E-2</v>
      </c>
      <c r="J3" s="6">
        <v>0.25903428429999997</v>
      </c>
      <c r="K3" s="6">
        <v>0.37792749840000001</v>
      </c>
      <c r="L3" s="6">
        <v>0.26684719800000001</v>
      </c>
      <c r="M3" s="6">
        <v>9.61910193E-2</v>
      </c>
      <c r="N3" s="7"/>
      <c r="O3" s="8"/>
      <c r="P3" s="8"/>
      <c r="Q3" s="8"/>
      <c r="R3" s="8"/>
      <c r="S3" s="8"/>
      <c r="V3" s="7">
        <v>0.83739799969999995</v>
      </c>
      <c r="X3" s="6">
        <v>0.90065124799999996</v>
      </c>
      <c r="Y3" s="6">
        <v>0</v>
      </c>
      <c r="Z3" s="6">
        <v>3.6539727600000002E-2</v>
      </c>
      <c r="AA3" s="6">
        <v>6.2809024399999996E-2</v>
      </c>
      <c r="AC3" s="14">
        <f>ABS(F3-X3)</f>
        <v>2.8698932119652909E-11</v>
      </c>
      <c r="AD3" s="14">
        <f>ABS(G3-Y3)</f>
        <v>9.8101974957017746E-12</v>
      </c>
      <c r="AE3" s="14">
        <f>ABS(H3-Z3)</f>
        <v>3.4543812255094508E-11</v>
      </c>
      <c r="AF3" s="14">
        <f>ABS(I3-AA3)</f>
        <v>5.343264719570584E-11</v>
      </c>
    </row>
    <row r="4" spans="1:32" x14ac:dyDescent="0.3">
      <c r="A4" s="21" t="s">
        <v>12</v>
      </c>
      <c r="B4" s="6">
        <v>0.80791433769999998</v>
      </c>
      <c r="C4" s="6">
        <v>6.3126859100000002E-2</v>
      </c>
      <c r="D4" s="6">
        <v>4.9471839500000003E-2</v>
      </c>
      <c r="E4" s="6">
        <v>7.9486963800000004E-2</v>
      </c>
      <c r="F4" s="22">
        <f>(B4-J4+$V4*J4)/$V4</f>
        <v>0.89243561059395338</v>
      </c>
      <c r="G4" s="22">
        <f>(C4-K4+$V4*K4)/$V4</f>
        <v>4.7463422349299594E-2</v>
      </c>
      <c r="H4" s="22">
        <f>(D4-L4+$V4*L4)/$V4</f>
        <v>2.0663405367045338E-2</v>
      </c>
      <c r="I4" s="22">
        <f>(E4-M4+$V4*M4)/$V4</f>
        <v>3.9437561803637833E-2</v>
      </c>
      <c r="J4" s="6">
        <v>0.20143359150000001</v>
      </c>
      <c r="K4" s="6">
        <v>0.17551954419999999</v>
      </c>
      <c r="L4" s="6">
        <v>0.25618619710000001</v>
      </c>
      <c r="M4" s="6">
        <v>0.36686066719999999</v>
      </c>
      <c r="N4" s="7"/>
      <c r="O4" s="8"/>
      <c r="P4" s="8"/>
      <c r="Q4" s="8"/>
      <c r="R4" s="8"/>
      <c r="S4" s="9"/>
      <c r="V4" s="7">
        <v>0.87768303049999996</v>
      </c>
      <c r="X4" s="6">
        <v>0.89243561059999998</v>
      </c>
      <c r="Y4" s="6">
        <v>4.7463422300000002E-2</v>
      </c>
      <c r="Z4" s="6">
        <v>2.06634053E-2</v>
      </c>
      <c r="AA4" s="6">
        <v>3.94375618E-2</v>
      </c>
      <c r="AC4" s="14">
        <f>ABS(F4-X4)</f>
        <v>6.0466076590159901E-12</v>
      </c>
      <c r="AD4" s="14">
        <f>ABS(G4-Y4)</f>
        <v>4.9299592186358154E-11</v>
      </c>
      <c r="AE4" s="14">
        <f>ABS(H4-Z4)</f>
        <v>6.7045338031368473E-11</v>
      </c>
      <c r="AF4" s="14">
        <f>ABS(I4-AA4)</f>
        <v>3.6378330903197309E-12</v>
      </c>
    </row>
    <row r="5" spans="1:32" x14ac:dyDescent="0.3">
      <c r="A5" s="21" t="s">
        <v>13</v>
      </c>
      <c r="B5" s="6">
        <v>0.78764184199999998</v>
      </c>
      <c r="C5" s="6">
        <v>6.4332780399999998E-2</v>
      </c>
      <c r="D5" s="6">
        <v>7.1038490999999995E-2</v>
      </c>
      <c r="E5" s="6">
        <v>7.6986886599999999E-2</v>
      </c>
      <c r="F5" s="22">
        <f>(B5-J5+$V5*J5)/$V5</f>
        <v>0.89562691085604029</v>
      </c>
      <c r="G5" s="22">
        <f>(C5-K5+$V5*K5)/$V5</f>
        <v>2.9189486920520721E-3</v>
      </c>
      <c r="H5" s="22">
        <f>(D5-L5+$V5*L5)/$V5</f>
        <v>4.0036968385552631E-2</v>
      </c>
      <c r="I5" s="22">
        <f>(E5-M5+$V5*M5)/$V5</f>
        <v>6.1417172066354893E-2</v>
      </c>
      <c r="J5" s="6">
        <v>0.24210244850000001</v>
      </c>
      <c r="K5" s="6">
        <v>0.37459479029999998</v>
      </c>
      <c r="L5" s="6">
        <v>0.22765784610000001</v>
      </c>
      <c r="M5" s="6">
        <v>0.1556449151</v>
      </c>
      <c r="N5" s="7"/>
      <c r="O5" s="8"/>
      <c r="P5" s="8"/>
      <c r="Q5" s="8"/>
      <c r="R5" s="8"/>
      <c r="S5" s="9"/>
      <c r="V5" s="7">
        <v>0.83476506989999999</v>
      </c>
      <c r="X5" s="6">
        <v>0.89562691080000001</v>
      </c>
      <c r="Y5" s="6">
        <v>2.9189488E-3</v>
      </c>
      <c r="Z5" s="6">
        <v>4.0036968399999998E-2</v>
      </c>
      <c r="AA5" s="6">
        <v>6.14171721E-2</v>
      </c>
      <c r="AC5" s="14">
        <f>ABS(F5-X5)</f>
        <v>5.6040283524794177E-11</v>
      </c>
      <c r="AD5" s="14">
        <f>ABS(G5-Y5)</f>
        <v>1.0794792794019403E-10</v>
      </c>
      <c r="AE5" s="14">
        <f>ABS(H5-Z5)</f>
        <v>1.4447366913916682E-11</v>
      </c>
      <c r="AF5" s="14">
        <f>ABS(I5-AA5)</f>
        <v>3.3645107533342156E-11</v>
      </c>
    </row>
    <row r="6" spans="1:32" x14ac:dyDescent="0.3">
      <c r="A6" s="21" t="s">
        <v>14</v>
      </c>
      <c r="B6" s="6">
        <v>0.797983216</v>
      </c>
      <c r="C6" s="6">
        <v>7.0889989200000003E-2</v>
      </c>
      <c r="D6" s="6">
        <v>5.9564406799999997E-2</v>
      </c>
      <c r="E6" s="6">
        <v>7.1562388000000005E-2</v>
      </c>
      <c r="F6" s="22">
        <f>(B6-J6+$V6*J6)/$V6</f>
        <v>0.89749840347854526</v>
      </c>
      <c r="G6" s="22">
        <f>(C6-K6+$V6*K6)/$V6</f>
        <v>2.9193630094174947E-2</v>
      </c>
      <c r="H6" s="22">
        <f>(D6-L6+$V6*L6)/$V6</f>
        <v>2.1144324079302317E-2</v>
      </c>
      <c r="I6" s="22">
        <f>(E6-M6+$V6*M6)/$V6</f>
        <v>5.2163642347977449E-2</v>
      </c>
      <c r="J6" s="6">
        <v>0.17152465119999999</v>
      </c>
      <c r="K6" s="6">
        <v>0.33337295230000002</v>
      </c>
      <c r="L6" s="6">
        <v>0.30142286569999999</v>
      </c>
      <c r="M6" s="6">
        <v>0.1936795308</v>
      </c>
      <c r="N6" s="7"/>
      <c r="O6" s="8"/>
      <c r="P6" s="7"/>
      <c r="Q6" s="8"/>
      <c r="S6" s="9"/>
      <c r="V6" s="7">
        <v>0.86292178310000001</v>
      </c>
      <c r="X6" s="6">
        <v>0.89749840349999999</v>
      </c>
      <c r="Y6" s="6">
        <v>2.91936301E-2</v>
      </c>
      <c r="Z6" s="6">
        <v>2.11443241E-2</v>
      </c>
      <c r="AA6" s="6">
        <v>5.2163642400000002E-2</v>
      </c>
      <c r="AC6" s="14">
        <f>ABS(F6-X6)</f>
        <v>2.1454726883973763E-11</v>
      </c>
      <c r="AD6" s="14">
        <f>ABS(G6-Y6)</f>
        <v>5.8250522461111842E-12</v>
      </c>
      <c r="AE6" s="14">
        <f>ABS(H6-Z6)</f>
        <v>2.0697683150716628E-11</v>
      </c>
      <c r="AF6" s="14">
        <f>ABS(I6-AA6)</f>
        <v>5.2022552932129429E-11</v>
      </c>
    </row>
    <row r="7" spans="1:32" x14ac:dyDescent="0.3">
      <c r="A7" s="21" t="s">
        <v>15</v>
      </c>
      <c r="B7" s="6">
        <v>0.76706279659999999</v>
      </c>
      <c r="C7" s="6">
        <v>8.3598982099999997E-2</v>
      </c>
      <c r="D7" s="6">
        <v>5.6052486300000003E-2</v>
      </c>
      <c r="E7" s="6">
        <v>9.3285734999999995E-2</v>
      </c>
      <c r="F7" s="22">
        <f>(B7-J7+$V7*J7)/$V7</f>
        <v>0.91208839741367798</v>
      </c>
      <c r="G7" s="22">
        <f>(C7-K7+$V7*K7)/$V7</f>
        <v>3.738980969882312E-2</v>
      </c>
      <c r="H7" s="22">
        <f>(D7-L7+$V7*L7)/$V7</f>
        <v>4.6280826954089797E-2</v>
      </c>
      <c r="I7" s="22">
        <f>(E7-M7+$V7*M7)/$V7</f>
        <v>4.240965933409082E-3</v>
      </c>
      <c r="J7" s="6">
        <v>0.3006750232</v>
      </c>
      <c r="K7" s="6">
        <v>0.2322030417</v>
      </c>
      <c r="L7" s="6">
        <v>8.7477161799999995E-2</v>
      </c>
      <c r="M7" s="6">
        <v>0.37964477330000002</v>
      </c>
      <c r="N7" s="7"/>
      <c r="O7" s="8"/>
      <c r="P7" s="7"/>
      <c r="Q7" s="8"/>
      <c r="S7" s="9"/>
      <c r="V7" s="7">
        <v>0.76280270120000004</v>
      </c>
      <c r="X7" s="6">
        <v>0.91208839740000003</v>
      </c>
      <c r="Y7" s="6">
        <v>3.7389809699999998E-2</v>
      </c>
      <c r="Z7" s="6">
        <v>4.6280826999999997E-2</v>
      </c>
      <c r="AA7" s="6">
        <v>4.2409659000000001E-3</v>
      </c>
      <c r="AC7" s="14">
        <f>ABS(F7-X7)</f>
        <v>1.3677947663381929E-11</v>
      </c>
      <c r="AD7" s="14">
        <f>ABS(G7-Y7)</f>
        <v>1.1768780394660894E-12</v>
      </c>
      <c r="AE7" s="14">
        <f>ABS(H7-Z7)</f>
        <v>4.5910199253373918E-11</v>
      </c>
      <c r="AF7" s="14">
        <f>ABS(I7-AA7)</f>
        <v>3.3409081924562489E-11</v>
      </c>
    </row>
    <row r="8" spans="1:32" x14ac:dyDescent="0.3">
      <c r="A8" s="21" t="s">
        <v>16</v>
      </c>
      <c r="B8" s="6">
        <v>0.79632304629999995</v>
      </c>
      <c r="C8" s="6">
        <v>6.14517672E-2</v>
      </c>
      <c r="D8" s="6">
        <v>7.3988182999999999E-2</v>
      </c>
      <c r="E8" s="6">
        <v>6.8237003500000004E-2</v>
      </c>
      <c r="F8" s="22">
        <f>(B8-J8+$V8*J8)/$V8</f>
        <v>0.90065124802869889</v>
      </c>
      <c r="G8" s="22">
        <f>(C8-K8+$V8*K8)/$V8</f>
        <v>-9.8101974957017746E-12</v>
      </c>
      <c r="H8" s="22">
        <f>(D8-L8+$V8*L8)/$V8</f>
        <v>3.6539727634543814E-2</v>
      </c>
      <c r="I8" s="22">
        <f>(E8-M8+$V8*M8)/$V8</f>
        <v>6.2809024346567349E-2</v>
      </c>
      <c r="J8" s="6">
        <v>0.25903428429999997</v>
      </c>
      <c r="K8" s="6">
        <v>0.37792749840000001</v>
      </c>
      <c r="L8" s="6">
        <v>0.26684719800000001</v>
      </c>
      <c r="M8" s="6">
        <v>9.61910193E-2</v>
      </c>
      <c r="N8" s="7"/>
      <c r="O8" s="8"/>
      <c r="P8" s="7"/>
      <c r="Q8" s="8"/>
      <c r="S8" s="9"/>
      <c r="V8" s="7">
        <v>0.83739799969999995</v>
      </c>
      <c r="X8" s="6">
        <v>0.90065124799999996</v>
      </c>
      <c r="Y8" s="6">
        <v>0</v>
      </c>
      <c r="Z8" s="6">
        <v>3.6539727600000002E-2</v>
      </c>
      <c r="AA8" s="6">
        <v>6.2809024399999996E-2</v>
      </c>
      <c r="AC8" s="14">
        <f>ABS(F8-X8)</f>
        <v>2.8698932119652909E-11</v>
      </c>
      <c r="AD8" s="14">
        <f>ABS(G8-Y8)</f>
        <v>9.8101974957017746E-12</v>
      </c>
      <c r="AE8" s="14">
        <f>ABS(H8-Z8)</f>
        <v>3.4543812255094508E-11</v>
      </c>
      <c r="AF8" s="14">
        <f>ABS(I8-AA8)</f>
        <v>5.343264719570584E-11</v>
      </c>
    </row>
    <row r="9" spans="1:32" x14ac:dyDescent="0.3">
      <c r="A9" s="21" t="s">
        <v>17</v>
      </c>
      <c r="B9" s="6">
        <v>0.80791433769999998</v>
      </c>
      <c r="C9" s="6">
        <v>6.3126859100000002E-2</v>
      </c>
      <c r="D9" s="6">
        <v>4.9471839500000003E-2</v>
      </c>
      <c r="E9" s="6">
        <v>7.9486963800000004E-2</v>
      </c>
      <c r="F9" s="22">
        <f>(B9-J9+$V9*J9)/$V9</f>
        <v>0.89243561059395338</v>
      </c>
      <c r="G9" s="22">
        <f>(C9-K9+$V9*K9)/$V9</f>
        <v>4.7463422349299594E-2</v>
      </c>
      <c r="H9" s="22">
        <f>(D9-L9+$V9*L9)/$V9</f>
        <v>2.0663405367045338E-2</v>
      </c>
      <c r="I9" s="22">
        <f>(E9-M9+$V9*M9)/$V9</f>
        <v>3.9437561803637833E-2</v>
      </c>
      <c r="J9" s="6">
        <v>0.20143359150000001</v>
      </c>
      <c r="K9" s="6">
        <v>0.17551954419999999</v>
      </c>
      <c r="L9" s="6">
        <v>0.25618619710000001</v>
      </c>
      <c r="M9" s="6">
        <v>0.36686066719999999</v>
      </c>
      <c r="N9" s="7"/>
      <c r="O9" s="8"/>
      <c r="P9" s="7"/>
      <c r="Q9" s="8"/>
      <c r="S9" s="9"/>
      <c r="V9" s="7">
        <v>0.87768303049999996</v>
      </c>
      <c r="X9" s="6">
        <v>0.89243561059999998</v>
      </c>
      <c r="Y9" s="6">
        <v>4.7463422300000002E-2</v>
      </c>
      <c r="Z9" s="6">
        <v>2.06634053E-2</v>
      </c>
      <c r="AA9" s="6">
        <v>3.94375618E-2</v>
      </c>
      <c r="AC9" s="14">
        <f>ABS(F9-X9)</f>
        <v>6.0466076590159901E-12</v>
      </c>
      <c r="AD9" s="14">
        <f>ABS(G9-Y9)</f>
        <v>4.9299592186358154E-11</v>
      </c>
      <c r="AE9" s="14">
        <f>ABS(H9-Z9)</f>
        <v>6.7045338031368473E-11</v>
      </c>
      <c r="AF9" s="14">
        <f>ABS(I9-AA9)</f>
        <v>3.6378330903197309E-12</v>
      </c>
    </row>
    <row r="10" spans="1:32" x14ac:dyDescent="0.3">
      <c r="A10" s="21" t="s">
        <v>18</v>
      </c>
      <c r="B10" s="6">
        <v>0.78764184199999998</v>
      </c>
      <c r="C10" s="6">
        <v>6.4332780399999998E-2</v>
      </c>
      <c r="D10" s="6">
        <v>7.1038490999999995E-2</v>
      </c>
      <c r="E10" s="6">
        <v>7.6986886599999999E-2</v>
      </c>
      <c r="F10" s="22">
        <f>(B10-J10+$V10*J10)/$V10</f>
        <v>0.89562691085604029</v>
      </c>
      <c r="G10" s="22">
        <f>(C10-K10+$V10*K10)/$V10</f>
        <v>2.9189486920520721E-3</v>
      </c>
      <c r="H10" s="22">
        <f>(D10-L10+$V10*L10)/$V10</f>
        <v>4.0036968385552631E-2</v>
      </c>
      <c r="I10" s="22">
        <f>(E10-M10+$V10*M10)/$V10</f>
        <v>6.1417172066354893E-2</v>
      </c>
      <c r="J10" s="6">
        <v>0.24210244850000001</v>
      </c>
      <c r="K10" s="6">
        <v>0.37459479029999998</v>
      </c>
      <c r="L10" s="6">
        <v>0.22765784610000001</v>
      </c>
      <c r="M10" s="6">
        <v>0.1556449151</v>
      </c>
      <c r="N10" s="7"/>
      <c r="O10" s="8"/>
      <c r="P10" s="7"/>
      <c r="Q10" s="8"/>
      <c r="S10" s="9"/>
      <c r="V10" s="7">
        <v>0.83476506989999999</v>
      </c>
      <c r="X10" s="6">
        <v>0.89562691080000001</v>
      </c>
      <c r="Y10" s="6">
        <v>2.9189488E-3</v>
      </c>
      <c r="Z10" s="6">
        <v>4.0036968399999998E-2</v>
      </c>
      <c r="AA10" s="6">
        <v>6.14171721E-2</v>
      </c>
      <c r="AC10" s="14">
        <f>ABS(F10-X10)</f>
        <v>5.6040283524794177E-11</v>
      </c>
      <c r="AD10" s="14">
        <f>ABS(G10-Y10)</f>
        <v>1.0794792794019403E-10</v>
      </c>
      <c r="AE10" s="14">
        <f>ABS(H10-Z10)</f>
        <v>1.4447366913916682E-11</v>
      </c>
      <c r="AF10" s="14">
        <f>ABS(I10-AA10)</f>
        <v>3.3645107533342156E-11</v>
      </c>
    </row>
    <row r="11" spans="1:32" x14ac:dyDescent="0.3">
      <c r="A11" s="21" t="s">
        <v>19</v>
      </c>
      <c r="B11" s="6">
        <v>0.797983216</v>
      </c>
      <c r="C11" s="6">
        <v>7.0889989200000003E-2</v>
      </c>
      <c r="D11" s="6">
        <v>5.9564406799999997E-2</v>
      </c>
      <c r="E11" s="6">
        <v>7.1562388000000005E-2</v>
      </c>
      <c r="F11" s="22">
        <f>(B11-J11+$V11*J11)/$V11</f>
        <v>0.89749840347854526</v>
      </c>
      <c r="G11" s="22">
        <f>(C11-K11+$V11*K11)/$V11</f>
        <v>2.9193630094174947E-2</v>
      </c>
      <c r="H11" s="22">
        <f>(D11-L11+$V11*L11)/$V11</f>
        <v>2.1144324079302317E-2</v>
      </c>
      <c r="I11" s="22">
        <f>(E11-M11+$V11*M11)/$V11</f>
        <v>5.2163642347977449E-2</v>
      </c>
      <c r="J11" s="6">
        <v>0.17152465119999999</v>
      </c>
      <c r="K11" s="6">
        <v>0.33337295230000002</v>
      </c>
      <c r="L11" s="6">
        <v>0.30142286569999999</v>
      </c>
      <c r="M11" s="6">
        <v>0.1936795308</v>
      </c>
      <c r="N11" s="7"/>
      <c r="O11" s="8"/>
      <c r="P11" s="7"/>
      <c r="Q11" s="8"/>
      <c r="S11" s="9"/>
      <c r="V11" s="7">
        <v>0.86292178310000001</v>
      </c>
      <c r="X11" s="6">
        <v>0.89749840349999999</v>
      </c>
      <c r="Y11" s="6">
        <v>2.91936301E-2</v>
      </c>
      <c r="Z11" s="6">
        <v>2.11443241E-2</v>
      </c>
      <c r="AA11" s="6">
        <v>5.2163642400000002E-2</v>
      </c>
      <c r="AC11" s="14">
        <f>ABS(F11-X11)</f>
        <v>2.1454726883973763E-11</v>
      </c>
      <c r="AD11" s="14">
        <f>ABS(G11-Y11)</f>
        <v>5.8250522461111842E-12</v>
      </c>
      <c r="AE11" s="14">
        <f>ABS(H11-Z11)</f>
        <v>2.0697683150716628E-11</v>
      </c>
      <c r="AF11" s="14">
        <f>ABS(I11-AA11)</f>
        <v>5.2022552932129429E-11</v>
      </c>
    </row>
    <row r="12" spans="1:32" x14ac:dyDescent="0.3">
      <c r="A12" s="21" t="s">
        <v>20</v>
      </c>
      <c r="B12" s="6">
        <v>0.76706279659999999</v>
      </c>
      <c r="C12" s="6">
        <v>8.3598982099999997E-2</v>
      </c>
      <c r="D12" s="6">
        <v>5.6052486300000003E-2</v>
      </c>
      <c r="E12" s="6">
        <v>9.3285734999999995E-2</v>
      </c>
      <c r="F12" s="22">
        <f>(B12-J12+$V12*J12)/$V12</f>
        <v>0.91208839741367798</v>
      </c>
      <c r="G12" s="22">
        <f>(C12-K12+$V12*K12)/$V12</f>
        <v>3.738980969882312E-2</v>
      </c>
      <c r="H12" s="22">
        <f>(D12-L12+$V12*L12)/$V12</f>
        <v>4.6280826954089797E-2</v>
      </c>
      <c r="I12" s="22">
        <f>(E12-M12+$V12*M12)/$V12</f>
        <v>4.240965933409082E-3</v>
      </c>
      <c r="J12" s="6">
        <v>0.3006750232</v>
      </c>
      <c r="K12" s="6">
        <v>0.2322030417</v>
      </c>
      <c r="L12" s="6">
        <v>8.7477161799999995E-2</v>
      </c>
      <c r="M12" s="6">
        <v>0.37964477330000002</v>
      </c>
      <c r="N12" s="7"/>
      <c r="O12" s="8"/>
      <c r="P12" s="7"/>
      <c r="Q12" s="8"/>
      <c r="S12" s="9"/>
      <c r="V12" s="7">
        <v>0.76280270120000004</v>
      </c>
      <c r="X12" s="6">
        <v>0.91208839740000003</v>
      </c>
      <c r="Y12" s="6">
        <v>3.7389809699999998E-2</v>
      </c>
      <c r="Z12" s="6">
        <v>4.6280826999999997E-2</v>
      </c>
      <c r="AA12" s="6">
        <v>4.2409659000000001E-3</v>
      </c>
      <c r="AC12" s="14">
        <f>ABS(F12-X12)</f>
        <v>1.3677947663381929E-11</v>
      </c>
      <c r="AD12" s="14">
        <f>ABS(G12-Y12)</f>
        <v>1.1768780394660894E-12</v>
      </c>
      <c r="AE12" s="14">
        <f>ABS(H12-Z12)</f>
        <v>4.5910199253373918E-11</v>
      </c>
      <c r="AF12" s="14">
        <f>ABS(I12-AA12)</f>
        <v>3.3409081924562489E-11</v>
      </c>
    </row>
    <row r="13" spans="1:32" x14ac:dyDescent="0.3">
      <c r="A13" s="21" t="s">
        <v>21</v>
      </c>
      <c r="B13" s="6">
        <v>0.79632304629999995</v>
      </c>
      <c r="C13" s="6">
        <v>6.14517672E-2</v>
      </c>
      <c r="D13" s="6">
        <v>7.3988182999999999E-2</v>
      </c>
      <c r="E13" s="6">
        <v>6.8237003500000004E-2</v>
      </c>
      <c r="F13" s="22">
        <f>(B13-J13+$V13*J13)/$V13</f>
        <v>0.90065124802869889</v>
      </c>
      <c r="G13" s="22">
        <f>(C13-K13+$V13*K13)/$V13</f>
        <v>-9.8101974957017746E-12</v>
      </c>
      <c r="H13" s="22">
        <f>(D13-L13+$V13*L13)/$V13</f>
        <v>3.6539727634543814E-2</v>
      </c>
      <c r="I13" s="22">
        <f>(E13-M13+$V13*M13)/$V13</f>
        <v>6.2809024346567349E-2</v>
      </c>
      <c r="J13" s="6">
        <v>0.25903428429999997</v>
      </c>
      <c r="K13" s="6">
        <v>0.37792749840000001</v>
      </c>
      <c r="L13" s="6">
        <v>0.26684719800000001</v>
      </c>
      <c r="M13" s="6">
        <v>9.61910193E-2</v>
      </c>
      <c r="N13" s="7"/>
      <c r="O13" s="8"/>
      <c r="P13" s="7"/>
      <c r="Q13" s="8"/>
      <c r="S13" s="9"/>
      <c r="V13" s="7">
        <v>0.83739799969999995</v>
      </c>
      <c r="X13" s="6">
        <v>0.90065124799999996</v>
      </c>
      <c r="Y13" s="6">
        <v>0</v>
      </c>
      <c r="Z13" s="6">
        <v>3.6539727600000002E-2</v>
      </c>
      <c r="AA13" s="6">
        <v>6.2809024399999996E-2</v>
      </c>
      <c r="AC13" s="14">
        <f>ABS(F13-X13)</f>
        <v>2.8698932119652909E-11</v>
      </c>
      <c r="AD13" s="14">
        <f>ABS(G13-Y13)</f>
        <v>9.8101974957017746E-12</v>
      </c>
      <c r="AE13" s="14">
        <f>ABS(H13-Z13)</f>
        <v>3.4543812255094508E-11</v>
      </c>
      <c r="AF13" s="14">
        <f>ABS(I13-AA13)</f>
        <v>5.343264719570584E-11</v>
      </c>
    </row>
    <row r="14" spans="1:32" x14ac:dyDescent="0.3">
      <c r="A14" s="21" t="s">
        <v>22</v>
      </c>
      <c r="B14" s="6">
        <v>0.80791433769999998</v>
      </c>
      <c r="C14" s="6">
        <v>6.3126859100000002E-2</v>
      </c>
      <c r="D14" s="6">
        <v>4.9471839500000003E-2</v>
      </c>
      <c r="E14" s="6">
        <v>7.9486963800000004E-2</v>
      </c>
      <c r="F14" s="22">
        <f>(B14-J14+$V14*J14)/$V14</f>
        <v>0.89243561059395338</v>
      </c>
      <c r="G14" s="22">
        <f>(C14-K14+$V14*K14)/$V14</f>
        <v>4.7463422349299594E-2</v>
      </c>
      <c r="H14" s="22">
        <f>(D14-L14+$V14*L14)/$V14</f>
        <v>2.0663405367045338E-2</v>
      </c>
      <c r="I14" s="22">
        <f>(E14-M14+$V14*M14)/$V14</f>
        <v>3.9437561803637833E-2</v>
      </c>
      <c r="J14" s="6">
        <v>0.20143359150000001</v>
      </c>
      <c r="K14" s="6">
        <v>0.17551954419999999</v>
      </c>
      <c r="L14" s="6">
        <v>0.25618619710000001</v>
      </c>
      <c r="M14" s="6">
        <v>0.36686066719999999</v>
      </c>
      <c r="N14" s="7"/>
      <c r="O14" s="8"/>
      <c r="P14" s="7"/>
      <c r="Q14" s="8"/>
      <c r="S14" s="9"/>
      <c r="V14" s="7">
        <v>0.87768303049999996</v>
      </c>
      <c r="X14" s="6">
        <v>0.89243561059999998</v>
      </c>
      <c r="Y14" s="6">
        <v>4.7463422300000002E-2</v>
      </c>
      <c r="Z14" s="6">
        <v>2.06634053E-2</v>
      </c>
      <c r="AA14" s="6">
        <v>3.94375618E-2</v>
      </c>
      <c r="AC14" s="14">
        <f>ABS(F14-X14)</f>
        <v>6.0466076590159901E-12</v>
      </c>
      <c r="AD14" s="14">
        <f>ABS(G14-Y14)</f>
        <v>4.9299592186358154E-11</v>
      </c>
      <c r="AE14" s="14">
        <f>ABS(H14-Z14)</f>
        <v>6.7045338031368473E-11</v>
      </c>
      <c r="AF14" s="14">
        <f>ABS(I14-AA14)</f>
        <v>3.6378330903197309E-12</v>
      </c>
    </row>
    <row r="15" spans="1:32" x14ac:dyDescent="0.3">
      <c r="A15" s="21" t="s">
        <v>23</v>
      </c>
      <c r="B15" s="6">
        <v>0.78764184199999998</v>
      </c>
      <c r="C15" s="6">
        <v>6.4332780399999998E-2</v>
      </c>
      <c r="D15" s="6">
        <v>7.1038490999999995E-2</v>
      </c>
      <c r="E15" s="6">
        <v>7.6986886599999999E-2</v>
      </c>
      <c r="F15" s="22">
        <f>(B15-J15+$V15*J15)/$V15</f>
        <v>0.89562691085604029</v>
      </c>
      <c r="G15" s="22">
        <f>(C15-K15+$V15*K15)/$V15</f>
        <v>2.9189486920520721E-3</v>
      </c>
      <c r="H15" s="22">
        <f>(D15-L15+$V15*L15)/$V15</f>
        <v>4.0036968385552631E-2</v>
      </c>
      <c r="I15" s="22">
        <f>(E15-M15+$V15*M15)/$V15</f>
        <v>6.1417172066354893E-2</v>
      </c>
      <c r="J15" s="6">
        <v>0.24210244850000001</v>
      </c>
      <c r="K15" s="6">
        <v>0.37459479029999998</v>
      </c>
      <c r="L15" s="6">
        <v>0.22765784610000001</v>
      </c>
      <c r="M15" s="6">
        <v>0.1556449151</v>
      </c>
      <c r="N15" s="7"/>
      <c r="O15" s="8"/>
      <c r="P15" s="7"/>
      <c r="Q15" s="8"/>
      <c r="S15" s="9"/>
      <c r="V15" s="7">
        <v>0.83476506989999999</v>
      </c>
      <c r="X15" s="6">
        <v>0.89562691080000001</v>
      </c>
      <c r="Y15" s="6">
        <v>2.9189488E-3</v>
      </c>
      <c r="Z15" s="6">
        <v>4.0036968399999998E-2</v>
      </c>
      <c r="AA15" s="6">
        <v>6.14171721E-2</v>
      </c>
      <c r="AC15" s="14">
        <f>ABS(F15-X15)</f>
        <v>5.6040283524794177E-11</v>
      </c>
      <c r="AD15" s="14">
        <f>ABS(G15-Y15)</f>
        <v>1.0794792794019403E-10</v>
      </c>
      <c r="AE15" s="14">
        <f>ABS(H15-Z15)</f>
        <v>1.4447366913916682E-11</v>
      </c>
      <c r="AF15" s="14">
        <f>ABS(I15-AA15)</f>
        <v>3.3645107533342156E-11</v>
      </c>
    </row>
    <row r="16" spans="1:32" x14ac:dyDescent="0.3">
      <c r="A16" s="21" t="s">
        <v>24</v>
      </c>
      <c r="B16" s="6">
        <v>0.797983216</v>
      </c>
      <c r="C16" s="6">
        <v>7.0889989200000003E-2</v>
      </c>
      <c r="D16" s="6">
        <v>5.9564406799999997E-2</v>
      </c>
      <c r="E16" s="6">
        <v>7.1562388000000005E-2</v>
      </c>
      <c r="F16" s="22">
        <f>(B16-J16+$V16*J16)/$V16</f>
        <v>0.89749840347854526</v>
      </c>
      <c r="G16" s="22">
        <f>(C16-K16+$V16*K16)/$V16</f>
        <v>2.9193630094174947E-2</v>
      </c>
      <c r="H16" s="22">
        <f>(D16-L16+$V16*L16)/$V16</f>
        <v>2.1144324079302317E-2</v>
      </c>
      <c r="I16" s="22">
        <f>(E16-M16+$V16*M16)/$V16</f>
        <v>5.2163642347977449E-2</v>
      </c>
      <c r="J16" s="6">
        <v>0.17152465119999999</v>
      </c>
      <c r="K16" s="6">
        <v>0.33337295230000002</v>
      </c>
      <c r="L16" s="6">
        <v>0.30142286569999999</v>
      </c>
      <c r="M16" s="6">
        <v>0.1936795308</v>
      </c>
      <c r="N16" s="7"/>
      <c r="O16" s="8"/>
      <c r="P16" s="7"/>
      <c r="Q16" s="8"/>
      <c r="S16" s="9"/>
      <c r="V16" s="7">
        <v>0.86292178310000001</v>
      </c>
      <c r="X16" s="6">
        <v>0.89749840349999999</v>
      </c>
      <c r="Y16" s="6">
        <v>2.91936301E-2</v>
      </c>
      <c r="Z16" s="6">
        <v>2.11443241E-2</v>
      </c>
      <c r="AA16" s="6">
        <v>5.2163642400000002E-2</v>
      </c>
      <c r="AC16" s="14">
        <f>ABS(F16-X16)</f>
        <v>2.1454726883973763E-11</v>
      </c>
      <c r="AD16" s="14">
        <f>ABS(G16-Y16)</f>
        <v>5.8250522461111842E-12</v>
      </c>
      <c r="AE16" s="14">
        <f>ABS(H16-Z16)</f>
        <v>2.0697683150716628E-11</v>
      </c>
      <c r="AF16" s="14">
        <f>ABS(I16-AA16)</f>
        <v>5.2022552932129429E-11</v>
      </c>
    </row>
    <row r="17" spans="1:32" x14ac:dyDescent="0.3">
      <c r="A17" s="21" t="s">
        <v>25</v>
      </c>
      <c r="B17" s="6">
        <v>0.76706279659999999</v>
      </c>
      <c r="C17" s="6">
        <v>8.3598982099999997E-2</v>
      </c>
      <c r="D17" s="6">
        <v>5.6052486300000003E-2</v>
      </c>
      <c r="E17" s="6">
        <v>9.3285734999999995E-2</v>
      </c>
      <c r="F17" s="22">
        <f>(B17-J17+$V17*J17)/$V17</f>
        <v>0.91208839741367798</v>
      </c>
      <c r="G17" s="22">
        <f>(C17-K17+$V17*K17)/$V17</f>
        <v>3.738980969882312E-2</v>
      </c>
      <c r="H17" s="22">
        <f>(D17-L17+$V17*L17)/$V17</f>
        <v>4.6280826954089797E-2</v>
      </c>
      <c r="I17" s="22">
        <f>(E17-M17+$V17*M17)/$V17</f>
        <v>4.240965933409082E-3</v>
      </c>
      <c r="J17" s="6">
        <v>0.3006750232</v>
      </c>
      <c r="K17" s="6">
        <v>0.2322030417</v>
      </c>
      <c r="L17" s="6">
        <v>8.7477161799999995E-2</v>
      </c>
      <c r="M17" s="6">
        <v>0.37964477330000002</v>
      </c>
      <c r="N17" s="7"/>
      <c r="O17" s="8"/>
      <c r="P17" s="7"/>
      <c r="Q17" s="8"/>
      <c r="S17" s="9"/>
      <c r="V17" s="7">
        <v>0.76280270120000004</v>
      </c>
      <c r="X17" s="6">
        <v>0.91208839740000003</v>
      </c>
      <c r="Y17" s="6">
        <v>3.7389809699999998E-2</v>
      </c>
      <c r="Z17" s="6">
        <v>4.6280826999999997E-2</v>
      </c>
      <c r="AA17" s="6">
        <v>4.2409659000000001E-3</v>
      </c>
      <c r="AC17" s="14">
        <f>ABS(F17-X17)</f>
        <v>1.3677947663381929E-11</v>
      </c>
      <c r="AD17" s="14">
        <f>ABS(G17-Y17)</f>
        <v>1.1768780394660894E-12</v>
      </c>
      <c r="AE17" s="14">
        <f>ABS(H17-Z17)</f>
        <v>4.5910199253373918E-11</v>
      </c>
      <c r="AF17" s="14">
        <f>ABS(I17-AA17)</f>
        <v>3.3409081924562489E-11</v>
      </c>
    </row>
    <row r="18" spans="1:32" x14ac:dyDescent="0.3">
      <c r="N18" s="7"/>
      <c r="O18" s="8"/>
      <c r="P18" s="7"/>
      <c r="Q18" s="8"/>
      <c r="S18" s="9"/>
    </row>
    <row r="19" spans="1:32" x14ac:dyDescent="0.3">
      <c r="N19" s="7"/>
      <c r="O19" s="8"/>
      <c r="P19" s="7"/>
      <c r="Q19" s="8"/>
      <c r="S19" s="9"/>
    </row>
    <row r="20" spans="1:32" x14ac:dyDescent="0.3">
      <c r="N20" s="7"/>
      <c r="O20" s="8"/>
      <c r="P20" s="7"/>
      <c r="Q20" s="8"/>
      <c r="S20" s="9"/>
    </row>
    <row r="21" spans="1:32" x14ac:dyDescent="0.3">
      <c r="N21" s="7"/>
      <c r="O21" s="8"/>
      <c r="P21" s="7"/>
      <c r="Q21" s="8"/>
      <c r="S21" s="9"/>
    </row>
    <row r="22" spans="1:32" x14ac:dyDescent="0.3">
      <c r="N22" s="7"/>
      <c r="O22" s="8"/>
      <c r="P22" s="7"/>
      <c r="Q22" s="8"/>
      <c r="S22" s="9"/>
    </row>
    <row r="23" spans="1:32" x14ac:dyDescent="0.3">
      <c r="N23" s="7"/>
      <c r="O23" s="8"/>
      <c r="P23" s="7"/>
      <c r="Q23" s="8"/>
      <c r="S23" s="9"/>
    </row>
    <row r="24" spans="1:32" x14ac:dyDescent="0.3">
      <c r="N24" s="7"/>
      <c r="O24" s="8"/>
      <c r="P24" s="7"/>
      <c r="Q24" s="8"/>
      <c r="S24" s="9"/>
    </row>
    <row r="25" spans="1:32" x14ac:dyDescent="0.3">
      <c r="N25" s="7"/>
      <c r="O25" s="8"/>
      <c r="P25" s="7"/>
      <c r="Q25" s="8"/>
      <c r="S25" s="9"/>
    </row>
    <row r="26" spans="1:32" x14ac:dyDescent="0.3">
      <c r="N26" s="7"/>
      <c r="O26" s="8"/>
      <c r="P26" s="7"/>
      <c r="Q26" s="8"/>
      <c r="S26" s="9"/>
    </row>
    <row r="27" spans="1:32" x14ac:dyDescent="0.3">
      <c r="N27" s="7"/>
      <c r="O27" s="8"/>
      <c r="P27" s="7"/>
      <c r="Q27" s="8"/>
      <c r="S27" s="9"/>
    </row>
    <row r="28" spans="1:32" x14ac:dyDescent="0.3">
      <c r="N28" s="7"/>
      <c r="O28" s="8"/>
      <c r="P28" s="7"/>
      <c r="Q28" s="8"/>
      <c r="S28" s="9"/>
    </row>
    <row r="29" spans="1:32" x14ac:dyDescent="0.3">
      <c r="N29" s="7"/>
      <c r="O29" s="8"/>
      <c r="P29" s="7"/>
      <c r="Q29" s="8"/>
      <c r="S29" s="9"/>
    </row>
    <row r="30" spans="1:32" x14ac:dyDescent="0.3">
      <c r="N30" s="7"/>
      <c r="O30" s="8"/>
      <c r="P30" s="7"/>
      <c r="Q30" s="8"/>
      <c r="S30" s="9"/>
    </row>
    <row r="31" spans="1:32" x14ac:dyDescent="0.3">
      <c r="N31" s="7"/>
      <c r="O31" s="8"/>
      <c r="P31" s="7"/>
      <c r="Q31" s="8"/>
      <c r="S31" s="9"/>
    </row>
    <row r="32" spans="1:32" x14ac:dyDescent="0.3">
      <c r="N32" s="7"/>
      <c r="O32" s="8"/>
      <c r="P32" s="7"/>
      <c r="Q32" s="8"/>
      <c r="S32" s="9"/>
    </row>
    <row r="33" spans="14:19" x14ac:dyDescent="0.3">
      <c r="N33" s="7"/>
      <c r="O33" s="8"/>
      <c r="P33" s="7"/>
      <c r="Q33" s="8"/>
      <c r="S33" s="9"/>
    </row>
    <row r="34" spans="14:19" x14ac:dyDescent="0.3">
      <c r="N34" s="7"/>
      <c r="O34" s="8"/>
      <c r="P34" s="7"/>
      <c r="Q34" s="8"/>
      <c r="S34" s="9"/>
    </row>
    <row r="35" spans="14:19" x14ac:dyDescent="0.3">
      <c r="N35" s="7"/>
      <c r="O35" s="8"/>
      <c r="P35" s="7"/>
      <c r="Q35" s="8"/>
      <c r="S35" s="9"/>
    </row>
    <row r="36" spans="14:19" x14ac:dyDescent="0.3">
      <c r="N36" s="7"/>
      <c r="O36" s="8"/>
      <c r="P36" s="7"/>
      <c r="Q36" s="8"/>
      <c r="S36" s="9"/>
    </row>
    <row r="37" spans="14:19" x14ac:dyDescent="0.3">
      <c r="N37" s="7"/>
      <c r="O37" s="8"/>
      <c r="P37" s="7"/>
      <c r="Q37" s="8"/>
      <c r="S37" s="9"/>
    </row>
    <row r="38" spans="14:19" x14ac:dyDescent="0.3">
      <c r="N38" s="7"/>
      <c r="O38" s="8"/>
      <c r="P38" s="7"/>
      <c r="Q38" s="8"/>
      <c r="S38" s="9"/>
    </row>
    <row r="39" spans="14:19" x14ac:dyDescent="0.3">
      <c r="N39" s="7"/>
      <c r="O39" s="8"/>
      <c r="P39" s="7"/>
      <c r="Q39" s="8"/>
      <c r="S39" s="9"/>
    </row>
    <row r="40" spans="14:19" x14ac:dyDescent="0.3">
      <c r="N40" s="7"/>
      <c r="O40" s="8"/>
      <c r="P40" s="7"/>
      <c r="Q40" s="8"/>
      <c r="S40" s="9"/>
    </row>
    <row r="41" spans="14:19" x14ac:dyDescent="0.3">
      <c r="N41" s="7"/>
      <c r="O41" s="8"/>
      <c r="P41" s="7"/>
      <c r="Q41" s="8"/>
      <c r="S41" s="9"/>
    </row>
    <row r="42" spans="14:19" x14ac:dyDescent="0.3">
      <c r="N42" s="7"/>
      <c r="O42" s="8"/>
      <c r="P42" s="7"/>
      <c r="Q42" s="8"/>
      <c r="S42" s="9"/>
    </row>
    <row r="43" spans="14:19" x14ac:dyDescent="0.3">
      <c r="N43" s="7"/>
      <c r="O43" s="8"/>
      <c r="P43" s="7"/>
      <c r="Q43" s="8"/>
      <c r="S43" s="9"/>
    </row>
    <row r="44" spans="14:19" x14ac:dyDescent="0.3">
      <c r="N44" s="7"/>
      <c r="O44" s="8"/>
      <c r="P44" s="7"/>
      <c r="Q44" s="8"/>
      <c r="S44" s="9"/>
    </row>
    <row r="45" spans="14:19" x14ac:dyDescent="0.3">
      <c r="N45" s="7"/>
      <c r="O45" s="8"/>
      <c r="P45" s="7"/>
      <c r="Q45" s="8"/>
      <c r="S45" s="9"/>
    </row>
    <row r="46" spans="14:19" x14ac:dyDescent="0.3">
      <c r="N46" s="7"/>
      <c r="O46" s="8"/>
      <c r="P46" s="7"/>
      <c r="Q46" s="8"/>
      <c r="S46" s="9"/>
    </row>
    <row r="47" spans="14:19" x14ac:dyDescent="0.3">
      <c r="N47" s="7"/>
      <c r="O47" s="8"/>
      <c r="P47" s="7"/>
      <c r="Q47" s="8"/>
      <c r="S47" s="9"/>
    </row>
    <row r="48" spans="14:19" x14ac:dyDescent="0.3">
      <c r="N48" s="7"/>
      <c r="O48" s="8"/>
      <c r="P48" s="7"/>
      <c r="Q48" s="8"/>
      <c r="S48" s="9"/>
    </row>
    <row r="49" spans="14:19" x14ac:dyDescent="0.3">
      <c r="N49" s="7"/>
      <c r="O49" s="8"/>
      <c r="P49" s="7"/>
      <c r="Q49" s="8"/>
      <c r="S49" s="9"/>
    </row>
    <row r="50" spans="14:19" x14ac:dyDescent="0.3">
      <c r="N50" s="7"/>
      <c r="O50" s="8"/>
      <c r="P50" s="7"/>
      <c r="Q50" s="8"/>
      <c r="S50" s="9"/>
    </row>
    <row r="51" spans="14:19" x14ac:dyDescent="0.3">
      <c r="N51" s="7"/>
      <c r="O51" s="8"/>
      <c r="P51" s="7"/>
      <c r="Q51" s="8"/>
      <c r="S51" s="9"/>
    </row>
    <row r="52" spans="14:19" x14ac:dyDescent="0.3">
      <c r="N52" s="7"/>
      <c r="O52" s="8"/>
      <c r="P52" s="7"/>
      <c r="Q52" s="8"/>
      <c r="S52" s="9"/>
    </row>
    <row r="53" spans="14:19" x14ac:dyDescent="0.3">
      <c r="N53" s="7"/>
      <c r="O53" s="8"/>
      <c r="P53" s="7"/>
      <c r="Q53" s="8"/>
      <c r="S53" s="9"/>
    </row>
    <row r="54" spans="14:19" x14ac:dyDescent="0.3">
      <c r="N54" s="7"/>
      <c r="O54" s="8"/>
      <c r="P54" s="7"/>
      <c r="Q54" s="8"/>
      <c r="S54" s="9"/>
    </row>
    <row r="55" spans="14:19" x14ac:dyDescent="0.3">
      <c r="N55" s="7"/>
      <c r="O55" s="8"/>
      <c r="P55" s="7"/>
      <c r="Q55" s="8"/>
      <c r="S55" s="9"/>
    </row>
    <row r="56" spans="14:19" x14ac:dyDescent="0.3">
      <c r="N56" s="7"/>
      <c r="O56" s="8"/>
      <c r="P56" s="7"/>
      <c r="Q56" s="8"/>
      <c r="S56" s="9"/>
    </row>
    <row r="57" spans="14:19" x14ac:dyDescent="0.3">
      <c r="N57" s="7"/>
      <c r="O57" s="8"/>
      <c r="P57" s="7"/>
      <c r="Q57" s="8"/>
      <c r="S57" s="9"/>
    </row>
    <row r="58" spans="14:19" x14ac:dyDescent="0.3">
      <c r="N58" s="7"/>
      <c r="O58" s="8"/>
      <c r="P58" s="7"/>
      <c r="Q58" s="8"/>
      <c r="S58" s="9"/>
    </row>
    <row r="59" spans="14:19" x14ac:dyDescent="0.3">
      <c r="N59" s="7"/>
      <c r="O59" s="8"/>
      <c r="P59" s="7"/>
      <c r="Q59" s="8"/>
      <c r="S59" s="9"/>
    </row>
    <row r="60" spans="14:19" x14ac:dyDescent="0.3">
      <c r="N60" s="7"/>
      <c r="O60" s="8"/>
      <c r="P60" s="7"/>
      <c r="Q60" s="8"/>
      <c r="S60" s="9"/>
    </row>
    <row r="61" spans="14:19" x14ac:dyDescent="0.3">
      <c r="N61" s="7"/>
      <c r="O61" s="8"/>
      <c r="P61" s="7"/>
      <c r="Q61" s="8"/>
      <c r="S61" s="9"/>
    </row>
    <row r="62" spans="14:19" x14ac:dyDescent="0.3">
      <c r="N62" s="7"/>
      <c r="O62" s="8"/>
      <c r="P62" s="7"/>
      <c r="Q62" s="8"/>
      <c r="S62" s="9"/>
    </row>
    <row r="63" spans="14:19" x14ac:dyDescent="0.3">
      <c r="N63" s="7"/>
      <c r="O63" s="8"/>
      <c r="P63" s="7"/>
      <c r="Q63" s="8"/>
      <c r="S63" s="9"/>
    </row>
    <row r="64" spans="14:19" x14ac:dyDescent="0.3">
      <c r="N64" s="7"/>
      <c r="O64" s="8"/>
      <c r="P64" s="7"/>
      <c r="Q64" s="8"/>
      <c r="S64" s="9"/>
    </row>
    <row r="65" spans="14:19" x14ac:dyDescent="0.3">
      <c r="N65" s="7"/>
      <c r="O65" s="8"/>
      <c r="P65" s="7"/>
      <c r="Q65" s="8"/>
      <c r="S65" s="9"/>
    </row>
    <row r="66" spans="14:19" x14ac:dyDescent="0.3">
      <c r="N66" s="7"/>
      <c r="O66" s="8"/>
      <c r="P66" s="7"/>
      <c r="Q66" s="8"/>
      <c r="S66" s="9"/>
    </row>
    <row r="67" spans="14:19" x14ac:dyDescent="0.3">
      <c r="N67" s="7"/>
      <c r="O67" s="8"/>
      <c r="P67" s="7"/>
      <c r="Q67" s="8"/>
      <c r="S67" s="9"/>
    </row>
    <row r="68" spans="14:19" x14ac:dyDescent="0.3">
      <c r="N68" s="7"/>
      <c r="O68" s="8"/>
      <c r="P68" s="7"/>
      <c r="Q68" s="8"/>
      <c r="S68" s="9"/>
    </row>
    <row r="69" spans="14:19" x14ac:dyDescent="0.3">
      <c r="N69" s="7"/>
      <c r="O69" s="8"/>
      <c r="P69" s="7"/>
      <c r="Q69" s="8"/>
      <c r="S69" s="9"/>
    </row>
    <row r="70" spans="14:19" x14ac:dyDescent="0.3">
      <c r="N70" s="7"/>
      <c r="O70" s="8"/>
      <c r="P70" s="7"/>
      <c r="Q70" s="8"/>
      <c r="S70" s="9"/>
    </row>
    <row r="71" spans="14:19" x14ac:dyDescent="0.3">
      <c r="N71" s="7"/>
      <c r="O71" s="8"/>
      <c r="P71" s="7"/>
      <c r="Q71" s="8"/>
      <c r="S71" s="9"/>
    </row>
    <row r="72" spans="14:19" x14ac:dyDescent="0.3">
      <c r="N72" s="7"/>
      <c r="O72" s="8"/>
      <c r="P72" s="7"/>
      <c r="Q72" s="8"/>
      <c r="S72" s="9"/>
    </row>
    <row r="73" spans="14:19" x14ac:dyDescent="0.3">
      <c r="N73" s="7"/>
      <c r="O73" s="8"/>
      <c r="P73" s="7"/>
      <c r="Q73" s="8"/>
      <c r="S73" s="9"/>
    </row>
    <row r="74" spans="14:19" x14ac:dyDescent="0.3">
      <c r="N74" s="7"/>
      <c r="O74" s="8"/>
      <c r="P74" s="7"/>
      <c r="Q74" s="8"/>
      <c r="S74" s="9"/>
    </row>
    <row r="75" spans="14:19" x14ac:dyDescent="0.3">
      <c r="N75" s="7"/>
      <c r="O75" s="8"/>
      <c r="P75" s="7"/>
      <c r="Q75" s="8"/>
      <c r="S75" s="9"/>
    </row>
    <row r="76" spans="14:19" x14ac:dyDescent="0.3">
      <c r="N76" s="7"/>
      <c r="O76" s="8"/>
      <c r="P76" s="7"/>
      <c r="Q76" s="8"/>
      <c r="S76" s="9"/>
    </row>
    <row r="77" spans="14:19" x14ac:dyDescent="0.3">
      <c r="N77" s="7"/>
      <c r="O77" s="8"/>
      <c r="P77" s="7"/>
      <c r="Q77" s="8"/>
      <c r="S77" s="9"/>
    </row>
    <row r="78" spans="14:19" x14ac:dyDescent="0.3">
      <c r="N78" s="7"/>
      <c r="O78" s="8"/>
      <c r="P78" s="7"/>
      <c r="Q78" s="8"/>
      <c r="S78" s="9"/>
    </row>
    <row r="79" spans="14:19" x14ac:dyDescent="0.3">
      <c r="N79" s="7"/>
      <c r="O79" s="8"/>
      <c r="P79" s="7"/>
      <c r="Q79" s="8"/>
      <c r="S79" s="9"/>
    </row>
    <row r="80" spans="14:19" x14ac:dyDescent="0.3">
      <c r="N80" s="7"/>
      <c r="O80" s="8"/>
      <c r="P80" s="7"/>
      <c r="Q80" s="8"/>
      <c r="S80" s="9"/>
    </row>
    <row r="81" spans="14:19" x14ac:dyDescent="0.3">
      <c r="N81" s="7"/>
      <c r="O81" s="8"/>
      <c r="P81" s="7"/>
      <c r="Q81" s="8"/>
      <c r="S81" s="9"/>
    </row>
    <row r="82" spans="14:19" x14ac:dyDescent="0.3">
      <c r="N82" s="7"/>
      <c r="O82" s="8"/>
      <c r="P82" s="7"/>
      <c r="Q82" s="8"/>
      <c r="S82" s="9"/>
    </row>
    <row r="83" spans="14:19" x14ac:dyDescent="0.3">
      <c r="N83" s="7"/>
      <c r="O83" s="8"/>
      <c r="P83" s="7"/>
      <c r="Q83" s="8"/>
      <c r="S83" s="9"/>
    </row>
    <row r="84" spans="14:19" x14ac:dyDescent="0.3">
      <c r="N84" s="7"/>
      <c r="O84" s="8"/>
      <c r="P84" s="7"/>
      <c r="Q84" s="8"/>
      <c r="S84" s="9"/>
    </row>
    <row r="85" spans="14:19" x14ac:dyDescent="0.3">
      <c r="N85" s="7"/>
      <c r="O85" s="8"/>
      <c r="P85" s="7"/>
      <c r="Q85" s="8"/>
      <c r="S85" s="9"/>
    </row>
    <row r="86" spans="14:19" x14ac:dyDescent="0.3">
      <c r="N86" s="7"/>
      <c r="O86" s="8"/>
      <c r="P86" s="7"/>
      <c r="Q86" s="8"/>
      <c r="S86" s="9"/>
    </row>
    <row r="87" spans="14:19" x14ac:dyDescent="0.3">
      <c r="N87" s="7"/>
      <c r="O87" s="8"/>
      <c r="P87" s="7"/>
      <c r="Q87" s="8"/>
      <c r="S87" s="9"/>
    </row>
    <row r="88" spans="14:19" x14ac:dyDescent="0.3">
      <c r="N88" s="7"/>
      <c r="O88" s="8"/>
      <c r="P88" s="7"/>
      <c r="Q88" s="8"/>
      <c r="S88" s="9"/>
    </row>
    <row r="89" spans="14:19" x14ac:dyDescent="0.3">
      <c r="N89" s="7"/>
      <c r="O89" s="8"/>
      <c r="P89" s="7"/>
      <c r="Q89" s="8"/>
      <c r="S89" s="9"/>
    </row>
    <row r="90" spans="14:19" x14ac:dyDescent="0.3">
      <c r="N90" s="7"/>
      <c r="O90" s="8"/>
      <c r="P90" s="7"/>
      <c r="Q90" s="8"/>
      <c r="S90" s="9"/>
    </row>
    <row r="91" spans="14:19" x14ac:dyDescent="0.3">
      <c r="N91" s="7"/>
      <c r="O91" s="8"/>
      <c r="P91" s="7"/>
      <c r="Q91" s="8"/>
      <c r="S91" s="9"/>
    </row>
    <row r="92" spans="14:19" x14ac:dyDescent="0.3">
      <c r="N92" s="7"/>
      <c r="O92" s="8"/>
      <c r="P92" s="7"/>
      <c r="Q92" s="8"/>
      <c r="S92" s="9"/>
    </row>
    <row r="93" spans="14:19" x14ac:dyDescent="0.3">
      <c r="N93" s="7"/>
      <c r="O93" s="8"/>
      <c r="P93" s="7"/>
      <c r="Q93" s="8"/>
      <c r="S93" s="9"/>
    </row>
    <row r="94" spans="14:19" x14ac:dyDescent="0.3">
      <c r="N94" s="7"/>
      <c r="O94" s="8"/>
      <c r="P94" s="7"/>
      <c r="Q94" s="8"/>
      <c r="S94" s="9"/>
    </row>
    <row r="95" spans="14:19" x14ac:dyDescent="0.3">
      <c r="N95" s="7"/>
      <c r="O95" s="8"/>
      <c r="P95" s="7"/>
      <c r="Q95" s="8"/>
      <c r="S95" s="9"/>
    </row>
    <row r="96" spans="14:19" x14ac:dyDescent="0.3">
      <c r="N96" s="7"/>
      <c r="O96" s="8"/>
      <c r="P96" s="7"/>
      <c r="Q96" s="8"/>
      <c r="S96" s="9"/>
    </row>
    <row r="97" spans="14:19" x14ac:dyDescent="0.3">
      <c r="N97" s="7"/>
      <c r="O97" s="8"/>
      <c r="P97" s="7"/>
      <c r="Q97" s="8"/>
      <c r="S97" s="9"/>
    </row>
    <row r="98" spans="14:19" x14ac:dyDescent="0.3">
      <c r="N98" s="7"/>
      <c r="O98" s="8"/>
      <c r="P98" s="7"/>
      <c r="Q98" s="8"/>
      <c r="S98" s="9"/>
    </row>
    <row r="99" spans="14:19" x14ac:dyDescent="0.3">
      <c r="N99" s="7"/>
      <c r="O99" s="8"/>
      <c r="P99" s="7"/>
      <c r="Q99" s="8"/>
      <c r="S99" s="9"/>
    </row>
    <row r="100" spans="14:19" x14ac:dyDescent="0.3">
      <c r="N100" s="7"/>
      <c r="O100" s="8"/>
      <c r="P100" s="7"/>
      <c r="Q100" s="8"/>
      <c r="S100" s="9"/>
    </row>
    <row r="101" spans="14:19" x14ac:dyDescent="0.3">
      <c r="N101" s="7"/>
      <c r="O101" s="8"/>
      <c r="P101" s="7"/>
      <c r="Q101" s="8"/>
      <c r="S101" s="9"/>
    </row>
    <row r="102" spans="14:19" x14ac:dyDescent="0.3">
      <c r="N102" s="7"/>
      <c r="O102" s="8"/>
      <c r="P102" s="7"/>
      <c r="Q102" s="8"/>
      <c r="S102" s="9"/>
    </row>
    <row r="103" spans="14:19" x14ac:dyDescent="0.3">
      <c r="N103" s="7"/>
      <c r="O103" s="8"/>
      <c r="P103" s="7"/>
      <c r="Q103" s="8"/>
      <c r="S103" s="9"/>
    </row>
    <row r="104" spans="14:19" x14ac:dyDescent="0.3">
      <c r="N104" s="7"/>
      <c r="O104" s="8"/>
      <c r="P104" s="7"/>
      <c r="Q104" s="8"/>
      <c r="S104" s="9"/>
    </row>
    <row r="105" spans="14:19" x14ac:dyDescent="0.3">
      <c r="N105" s="7"/>
      <c r="O105" s="8"/>
      <c r="P105" s="7"/>
      <c r="Q105" s="8"/>
      <c r="S105" s="9"/>
    </row>
    <row r="106" spans="14:19" x14ac:dyDescent="0.3">
      <c r="N106" s="7"/>
      <c r="O106" s="8"/>
      <c r="P106" s="7"/>
      <c r="Q106" s="8"/>
      <c r="S106" s="9"/>
    </row>
    <row r="107" spans="14:19" x14ac:dyDescent="0.3">
      <c r="N107" s="7"/>
      <c r="O107" s="8"/>
      <c r="P107" s="7"/>
      <c r="Q107" s="8"/>
      <c r="S107" s="9"/>
    </row>
    <row r="108" spans="14:19" x14ac:dyDescent="0.3">
      <c r="N108" s="7"/>
      <c r="O108" s="8"/>
      <c r="P108" s="7"/>
      <c r="Q108" s="8"/>
      <c r="S108" s="9"/>
    </row>
    <row r="109" spans="14:19" x14ac:dyDescent="0.3">
      <c r="N109" s="7"/>
      <c r="O109" s="8"/>
      <c r="P109" s="7"/>
      <c r="Q109" s="8"/>
      <c r="S109" s="9"/>
    </row>
    <row r="110" spans="14:19" x14ac:dyDescent="0.3">
      <c r="N110" s="7"/>
      <c r="O110" s="8"/>
      <c r="P110" s="7"/>
      <c r="Q110" s="8"/>
      <c r="S110" s="9"/>
    </row>
    <row r="111" spans="14:19" x14ac:dyDescent="0.3">
      <c r="N111" s="7"/>
      <c r="O111" s="8"/>
      <c r="P111" s="7"/>
      <c r="Q111" s="8"/>
      <c r="S111" s="9"/>
    </row>
    <row r="112" spans="14:19" x14ac:dyDescent="0.3">
      <c r="N112" s="7"/>
      <c r="O112" s="8"/>
      <c r="P112" s="7"/>
      <c r="Q112" s="8"/>
      <c r="S112" s="9"/>
    </row>
    <row r="113" spans="14:19" x14ac:dyDescent="0.3">
      <c r="N113" s="7"/>
      <c r="O113" s="8"/>
      <c r="P113" s="7"/>
      <c r="Q113" s="8"/>
      <c r="S113" s="9"/>
    </row>
    <row r="114" spans="14:19" x14ac:dyDescent="0.3">
      <c r="N114" s="7"/>
      <c r="O114" s="8"/>
      <c r="P114" s="7"/>
      <c r="Q114" s="8"/>
      <c r="S114" s="9"/>
    </row>
    <row r="115" spans="14:19" x14ac:dyDescent="0.3">
      <c r="N115" s="7"/>
      <c r="O115" s="8"/>
      <c r="P115" s="7"/>
      <c r="Q115" s="8"/>
      <c r="S115" s="9"/>
    </row>
    <row r="116" spans="14:19" x14ac:dyDescent="0.3">
      <c r="N116" s="7"/>
      <c r="O116" s="8"/>
      <c r="P116" s="7"/>
      <c r="Q116" s="8"/>
      <c r="S116" s="9"/>
    </row>
    <row r="117" spans="14:19" x14ac:dyDescent="0.3">
      <c r="N117" s="7"/>
      <c r="O117" s="8"/>
      <c r="P117" s="7"/>
      <c r="Q117" s="8"/>
      <c r="S117" s="9"/>
    </row>
    <row r="118" spans="14:19" x14ac:dyDescent="0.3">
      <c r="N118" s="7"/>
      <c r="O118" s="8"/>
      <c r="P118" s="7"/>
      <c r="Q118" s="8"/>
      <c r="S118" s="9"/>
    </row>
    <row r="119" spans="14:19" x14ac:dyDescent="0.3">
      <c r="N119" s="7"/>
      <c r="O119" s="8"/>
      <c r="P119" s="7"/>
      <c r="Q119" s="8"/>
      <c r="S119" s="9"/>
    </row>
    <row r="120" spans="14:19" x14ac:dyDescent="0.3">
      <c r="N120" s="7"/>
      <c r="O120" s="8"/>
      <c r="P120" s="7"/>
      <c r="Q120" s="8"/>
      <c r="S120" s="9"/>
    </row>
    <row r="121" spans="14:19" x14ac:dyDescent="0.3">
      <c r="N121" s="7"/>
      <c r="O121" s="8"/>
      <c r="P121" s="7"/>
      <c r="Q121" s="8"/>
      <c r="S121" s="9"/>
    </row>
    <row r="122" spans="14:19" x14ac:dyDescent="0.3">
      <c r="N122" s="7"/>
      <c r="O122" s="8"/>
      <c r="P122" s="7"/>
      <c r="Q122" s="8"/>
      <c r="S122" s="9"/>
    </row>
    <row r="123" spans="14:19" x14ac:dyDescent="0.3">
      <c r="N123" s="7"/>
      <c r="O123" s="8"/>
      <c r="P123" s="7"/>
      <c r="Q123" s="8"/>
      <c r="S123" s="9"/>
    </row>
    <row r="124" spans="14:19" x14ac:dyDescent="0.3">
      <c r="N124" s="7"/>
      <c r="O124" s="8"/>
      <c r="P124" s="7"/>
      <c r="Q124" s="8"/>
      <c r="S124" s="9"/>
    </row>
    <row r="125" spans="14:19" x14ac:dyDescent="0.3">
      <c r="N125" s="7"/>
      <c r="O125" s="8"/>
      <c r="P125" s="7"/>
      <c r="Q125" s="8"/>
      <c r="S125" s="9"/>
    </row>
    <row r="126" spans="14:19" x14ac:dyDescent="0.3">
      <c r="N126" s="7"/>
      <c r="O126" s="8"/>
      <c r="P126" s="7"/>
      <c r="Q126" s="8"/>
      <c r="S126" s="9"/>
    </row>
    <row r="127" spans="14:19" x14ac:dyDescent="0.3">
      <c r="N127" s="7"/>
      <c r="O127" s="8"/>
      <c r="P127" s="7"/>
      <c r="Q127" s="8"/>
      <c r="S127" s="9"/>
    </row>
    <row r="128" spans="14:19" x14ac:dyDescent="0.3">
      <c r="N128" s="7"/>
      <c r="O128" s="8"/>
      <c r="P128" s="7"/>
      <c r="Q128" s="8"/>
      <c r="S128" s="9"/>
    </row>
    <row r="129" spans="14:19" x14ac:dyDescent="0.3">
      <c r="N129" s="7"/>
      <c r="O129" s="8"/>
      <c r="P129" s="7"/>
      <c r="Q129" s="8"/>
      <c r="S129" s="9"/>
    </row>
    <row r="130" spans="14:19" x14ac:dyDescent="0.3">
      <c r="N130" s="7"/>
      <c r="O130" s="8"/>
      <c r="P130" s="7"/>
      <c r="Q130" s="8"/>
      <c r="S130" s="9"/>
    </row>
    <row r="131" spans="14:19" x14ac:dyDescent="0.3">
      <c r="N131" s="7"/>
      <c r="O131" s="8"/>
      <c r="P131" s="7"/>
      <c r="Q131" s="8"/>
      <c r="S131" s="9"/>
    </row>
    <row r="132" spans="14:19" x14ac:dyDescent="0.3">
      <c r="N132" s="7"/>
      <c r="O132" s="8"/>
      <c r="P132" s="7"/>
      <c r="Q132" s="8"/>
      <c r="S132" s="9"/>
    </row>
    <row r="133" spans="14:19" x14ac:dyDescent="0.3">
      <c r="N133" s="7"/>
      <c r="O133" s="8"/>
      <c r="P133" s="7"/>
      <c r="Q133" s="8"/>
      <c r="S133" s="9"/>
    </row>
    <row r="134" spans="14:19" x14ac:dyDescent="0.3">
      <c r="N134" s="7"/>
      <c r="O134" s="8"/>
      <c r="P134" s="7"/>
      <c r="Q134" s="8"/>
      <c r="S134" s="9"/>
    </row>
    <row r="135" spans="14:19" x14ac:dyDescent="0.3">
      <c r="N135" s="7"/>
      <c r="O135" s="8"/>
      <c r="P135" s="7"/>
      <c r="Q135" s="8"/>
      <c r="S135" s="9"/>
    </row>
    <row r="136" spans="14:19" x14ac:dyDescent="0.3">
      <c r="N136" s="7"/>
      <c r="O136" s="8"/>
      <c r="P136" s="7"/>
      <c r="Q136" s="8"/>
      <c r="S136" s="9"/>
    </row>
    <row r="137" spans="14:19" x14ac:dyDescent="0.3">
      <c r="N137" s="7"/>
      <c r="O137" s="8"/>
      <c r="P137" s="7"/>
      <c r="Q137" s="8"/>
      <c r="S137" s="9"/>
    </row>
    <row r="138" spans="14:19" x14ac:dyDescent="0.3">
      <c r="N138" s="7"/>
      <c r="O138" s="8"/>
      <c r="P138" s="7"/>
      <c r="Q138" s="8"/>
      <c r="S138" s="9"/>
    </row>
    <row r="139" spans="14:19" x14ac:dyDescent="0.3">
      <c r="N139" s="7"/>
      <c r="O139" s="8"/>
      <c r="P139" s="7"/>
      <c r="Q139" s="8"/>
      <c r="S139" s="9"/>
    </row>
    <row r="140" spans="14:19" x14ac:dyDescent="0.3">
      <c r="N140" s="7"/>
      <c r="O140" s="8"/>
      <c r="P140" s="7"/>
      <c r="Q140" s="8"/>
      <c r="S140" s="9"/>
    </row>
    <row r="141" spans="14:19" x14ac:dyDescent="0.3">
      <c r="N141" s="7"/>
      <c r="O141" s="8"/>
      <c r="P141" s="7"/>
      <c r="Q141" s="8"/>
      <c r="S141" s="9"/>
    </row>
    <row r="142" spans="14:19" x14ac:dyDescent="0.3">
      <c r="N142" s="7"/>
      <c r="O142" s="8"/>
      <c r="P142" s="7"/>
      <c r="Q142" s="8"/>
      <c r="S142" s="9"/>
    </row>
    <row r="143" spans="14:19" x14ac:dyDescent="0.3">
      <c r="N143" s="7"/>
      <c r="O143" s="8"/>
      <c r="P143" s="7"/>
      <c r="Q143" s="8"/>
      <c r="S143" s="9"/>
    </row>
    <row r="144" spans="14:19" x14ac:dyDescent="0.3">
      <c r="N144" s="7"/>
      <c r="O144" s="8"/>
      <c r="P144" s="7"/>
      <c r="Q144" s="8"/>
      <c r="S144" s="9"/>
    </row>
    <row r="145" spans="14:19" x14ac:dyDescent="0.3">
      <c r="N145" s="7"/>
      <c r="O145" s="8"/>
      <c r="P145" s="7"/>
      <c r="Q145" s="8"/>
      <c r="S145" s="9"/>
    </row>
    <row r="146" spans="14:19" x14ac:dyDescent="0.3">
      <c r="N146" s="7"/>
      <c r="O146" s="8"/>
      <c r="P146" s="7"/>
      <c r="Q146" s="8"/>
      <c r="S146" s="9"/>
    </row>
    <row r="147" spans="14:19" x14ac:dyDescent="0.3">
      <c r="N147" s="7"/>
      <c r="O147" s="8"/>
      <c r="P147" s="7"/>
      <c r="Q147" s="8"/>
      <c r="S147" s="9"/>
    </row>
    <row r="148" spans="14:19" x14ac:dyDescent="0.3">
      <c r="N148" s="7"/>
      <c r="O148" s="8"/>
      <c r="P148" s="7"/>
      <c r="Q148" s="8"/>
      <c r="S148" s="9"/>
    </row>
    <row r="149" spans="14:19" x14ac:dyDescent="0.3">
      <c r="N149" s="7"/>
      <c r="O149" s="8"/>
      <c r="P149" s="7"/>
      <c r="Q149" s="8"/>
      <c r="S149" s="9"/>
    </row>
    <row r="150" spans="14:19" x14ac:dyDescent="0.3">
      <c r="N150" s="7"/>
      <c r="O150" s="8"/>
      <c r="P150" s="7"/>
      <c r="Q150" s="8"/>
      <c r="S150" s="9"/>
    </row>
    <row r="151" spans="14:19" x14ac:dyDescent="0.3">
      <c r="N151" s="7"/>
      <c r="O151" s="8"/>
      <c r="P151" s="7"/>
      <c r="Q151" s="8"/>
      <c r="S151" s="9"/>
    </row>
    <row r="152" spans="14:19" x14ac:dyDescent="0.3">
      <c r="N152" s="7"/>
      <c r="O152" s="8"/>
      <c r="P152" s="7"/>
      <c r="Q152" s="8"/>
      <c r="S152" s="9"/>
    </row>
    <row r="153" spans="14:19" x14ac:dyDescent="0.3">
      <c r="N153" s="7"/>
      <c r="O153" s="8"/>
      <c r="P153" s="7"/>
      <c r="Q153" s="8"/>
      <c r="S153" s="9"/>
    </row>
    <row r="154" spans="14:19" x14ac:dyDescent="0.3">
      <c r="N154" s="7"/>
      <c r="O154" s="8"/>
      <c r="P154" s="7"/>
      <c r="Q154" s="8"/>
      <c r="S154" s="9"/>
    </row>
    <row r="155" spans="14:19" x14ac:dyDescent="0.3">
      <c r="N155" s="7"/>
      <c r="O155" s="8"/>
      <c r="P155" s="7"/>
      <c r="Q155" s="8"/>
      <c r="S155" s="9"/>
    </row>
    <row r="156" spans="14:19" x14ac:dyDescent="0.3">
      <c r="N156" s="7"/>
      <c r="O156" s="8"/>
      <c r="P156" s="7"/>
      <c r="Q156" s="8"/>
      <c r="S156" s="9"/>
    </row>
    <row r="157" spans="14:19" x14ac:dyDescent="0.3">
      <c r="N157" s="7"/>
      <c r="O157" s="8"/>
      <c r="P157" s="7"/>
      <c r="Q157" s="8"/>
      <c r="S157" s="9"/>
    </row>
    <row r="158" spans="14:19" x14ac:dyDescent="0.3">
      <c r="N158" s="7"/>
      <c r="O158" s="8"/>
      <c r="P158" s="7"/>
      <c r="Q158" s="8"/>
      <c r="S158" s="9"/>
    </row>
    <row r="159" spans="14:19" x14ac:dyDescent="0.3">
      <c r="N159" s="7"/>
      <c r="O159" s="8"/>
      <c r="P159" s="7"/>
      <c r="Q159" s="8"/>
      <c r="S159" s="9"/>
    </row>
    <row r="160" spans="14:19" x14ac:dyDescent="0.3">
      <c r="N160" s="7"/>
      <c r="O160" s="8"/>
      <c r="P160" s="7"/>
      <c r="Q160" s="8"/>
      <c r="S160" s="9"/>
    </row>
    <row r="161" spans="14:19" x14ac:dyDescent="0.3">
      <c r="N161" s="7"/>
      <c r="O161" s="8"/>
      <c r="P161" s="7"/>
      <c r="Q161" s="8"/>
      <c r="S161" s="9"/>
    </row>
    <row r="162" spans="14:19" x14ac:dyDescent="0.3">
      <c r="N162" s="7"/>
      <c r="O162" s="8"/>
      <c r="P162" s="7"/>
      <c r="Q162" s="8"/>
      <c r="S162" s="9"/>
    </row>
    <row r="163" spans="14:19" x14ac:dyDescent="0.3">
      <c r="N163" s="7"/>
      <c r="O163" s="8"/>
      <c r="P163" s="7"/>
      <c r="Q163" s="8"/>
      <c r="S163" s="9"/>
    </row>
    <row r="164" spans="14:19" x14ac:dyDescent="0.3">
      <c r="N164" s="7"/>
      <c r="O164" s="8"/>
      <c r="P164" s="7"/>
      <c r="Q164" s="8"/>
      <c r="S164" s="9"/>
    </row>
    <row r="165" spans="14:19" x14ac:dyDescent="0.3">
      <c r="N165" s="7"/>
      <c r="O165" s="8"/>
      <c r="P165" s="7"/>
      <c r="Q165" s="8"/>
      <c r="S165" s="9"/>
    </row>
    <row r="166" spans="14:19" x14ac:dyDescent="0.3">
      <c r="N166" s="7"/>
      <c r="O166" s="8"/>
      <c r="P166" s="7"/>
      <c r="Q166" s="8"/>
      <c r="S166" s="9"/>
    </row>
    <row r="167" spans="14:19" x14ac:dyDescent="0.3">
      <c r="N167" s="7"/>
      <c r="O167" s="8"/>
      <c r="P167" s="7"/>
      <c r="Q167" s="8"/>
      <c r="S167" s="9"/>
    </row>
  </sheetData>
  <mergeCells count="6">
    <mergeCell ref="J1:M1"/>
    <mergeCell ref="B1:E1"/>
    <mergeCell ref="F1:I1"/>
    <mergeCell ref="X1:AA1"/>
    <mergeCell ref="AC1:AF1"/>
    <mergeCell ref="O1:S1"/>
  </mergeCells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CRYSS Input File 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Smith</cp:lastModifiedBy>
  <dcterms:created xsi:type="dcterms:W3CDTF">2026-10-04T10:50:48Z</dcterms:created>
  <dcterms:modified xsi:type="dcterms:W3CDTF">2026-10-05T14:40:37Z</dcterms:modified>
</cp:coreProperties>
</file>