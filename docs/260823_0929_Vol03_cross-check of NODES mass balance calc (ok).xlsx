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CRYSS\Github Cryss Repo (draft)\docs_repo\"/>
    </mc:Choice>
  </mc:AlternateContent>
  <xr:revisionPtr revIDLastSave="0" documentId="13_ncr:1_{0853F7EE-6E93-4D8D-B32D-B68835006CC1}" xr6:coauthVersionLast="47" xr6:coauthVersionMax="47" xr10:uidLastSave="{00000000-0000-0000-0000-000000000000}"/>
  <bookViews>
    <workbookView xWindow="26064" yWindow="0" windowWidth="29112" windowHeight="15804" xr2:uid="{00000000-000D-0000-FFFF-FFFF00000000}"/>
  </bookViews>
  <sheets>
    <sheet name="slice_records" sheetId="1" r:id="rId1"/>
  </sheets>
  <calcPr calcId="181029"/>
</workbook>
</file>

<file path=xl/calcChain.xml><?xml version="1.0" encoding="utf-8"?>
<calcChain xmlns="http://schemas.openxmlformats.org/spreadsheetml/2006/main">
  <c r="AF4" i="1" l="1"/>
  <c r="AG4" i="1"/>
  <c r="AH4" i="1"/>
  <c r="AF5" i="1"/>
  <c r="AG5" i="1"/>
  <c r="AH5" i="1"/>
  <c r="AF6" i="1"/>
  <c r="AG6" i="1"/>
  <c r="AH6" i="1"/>
  <c r="AF7" i="1"/>
  <c r="AG7" i="1"/>
  <c r="AH7" i="1"/>
  <c r="AF8" i="1"/>
  <c r="AG8" i="1"/>
  <c r="AH8" i="1"/>
  <c r="AF9" i="1"/>
  <c r="AG9" i="1"/>
  <c r="AH9" i="1"/>
  <c r="AF10" i="1"/>
  <c r="AG10" i="1"/>
  <c r="AH10" i="1"/>
  <c r="AF11" i="1"/>
  <c r="AG11" i="1"/>
  <c r="AH11" i="1"/>
  <c r="AF12" i="1"/>
  <c r="AG12" i="1"/>
  <c r="AH12" i="1"/>
  <c r="AF13" i="1"/>
  <c r="AG13" i="1"/>
  <c r="AH13" i="1"/>
  <c r="AF14" i="1"/>
  <c r="AG14" i="1"/>
  <c r="AH14" i="1"/>
  <c r="AF15" i="1"/>
  <c r="AG15" i="1"/>
  <c r="AH15" i="1"/>
  <c r="AF16" i="1"/>
  <c r="AG16" i="1"/>
  <c r="AH16" i="1"/>
  <c r="AF17" i="1"/>
  <c r="AG17" i="1"/>
  <c r="AH17" i="1"/>
  <c r="AF18" i="1"/>
  <c r="AG18" i="1"/>
  <c r="AH18" i="1"/>
  <c r="AF19" i="1"/>
  <c r="AG19" i="1"/>
  <c r="AH19" i="1"/>
  <c r="AF20" i="1"/>
  <c r="AG20" i="1"/>
  <c r="AH20" i="1"/>
  <c r="AF21" i="1"/>
  <c r="AG21" i="1"/>
  <c r="AH21" i="1"/>
  <c r="AF22" i="1"/>
  <c r="AG22" i="1"/>
  <c r="AH22" i="1"/>
  <c r="AF23" i="1"/>
  <c r="AG23" i="1"/>
  <c r="AH23" i="1"/>
  <c r="AF24" i="1"/>
  <c r="AG24" i="1"/>
  <c r="AH24" i="1"/>
  <c r="AF25" i="1"/>
  <c r="AG25" i="1"/>
  <c r="AH25" i="1"/>
  <c r="AF26" i="1"/>
  <c r="AG26" i="1"/>
  <c r="AH26" i="1"/>
  <c r="AF27" i="1"/>
  <c r="AG27" i="1"/>
  <c r="AH27" i="1"/>
  <c r="AF28" i="1"/>
  <c r="AG28" i="1"/>
  <c r="AH28" i="1"/>
  <c r="AF29" i="1"/>
  <c r="AG29" i="1"/>
  <c r="AH29" i="1"/>
  <c r="AF30" i="1"/>
  <c r="AG30" i="1"/>
  <c r="AH30" i="1"/>
  <c r="AF31" i="1"/>
  <c r="AG31" i="1"/>
  <c r="AH31" i="1"/>
  <c r="AF32" i="1"/>
  <c r="AG32" i="1"/>
  <c r="AH32" i="1"/>
  <c r="AF33" i="1"/>
  <c r="AG33" i="1"/>
  <c r="AH33" i="1"/>
  <c r="AF34" i="1"/>
  <c r="AG34" i="1"/>
  <c r="AH34" i="1"/>
  <c r="AF35" i="1"/>
  <c r="AG35" i="1"/>
  <c r="AH35" i="1"/>
  <c r="AF36" i="1"/>
  <c r="AG36" i="1"/>
  <c r="AH36" i="1"/>
  <c r="AF37" i="1"/>
  <c r="AG37" i="1"/>
  <c r="AH37" i="1"/>
  <c r="AF38" i="1"/>
  <c r="AG38" i="1"/>
  <c r="AH38" i="1"/>
  <c r="AF39" i="1"/>
  <c r="AG39" i="1"/>
  <c r="AH39" i="1"/>
  <c r="AF40" i="1"/>
  <c r="AG40" i="1"/>
  <c r="AH40" i="1"/>
  <c r="AF41" i="1"/>
  <c r="AG41" i="1"/>
  <c r="AH41" i="1"/>
  <c r="AF42" i="1"/>
  <c r="AG42" i="1"/>
  <c r="AH42" i="1"/>
  <c r="AF43" i="1"/>
  <c r="AG43" i="1"/>
  <c r="AH43" i="1"/>
  <c r="AF44" i="1"/>
  <c r="AG44" i="1"/>
  <c r="AH44" i="1"/>
  <c r="AF45" i="1"/>
  <c r="AG45" i="1"/>
  <c r="AH45" i="1"/>
  <c r="AF46" i="1"/>
  <c r="AG46" i="1"/>
  <c r="AH46" i="1"/>
  <c r="AF47" i="1"/>
  <c r="AG47" i="1"/>
  <c r="AH47" i="1"/>
  <c r="AF48" i="1"/>
  <c r="AG48" i="1"/>
  <c r="AH48" i="1"/>
  <c r="AF49" i="1"/>
  <c r="AG49" i="1"/>
  <c r="AH49" i="1"/>
  <c r="AF50" i="1"/>
  <c r="AG50" i="1"/>
  <c r="AH50" i="1"/>
  <c r="AF51" i="1"/>
  <c r="AG51" i="1"/>
  <c r="AH51" i="1"/>
  <c r="AF52" i="1"/>
  <c r="AG52" i="1"/>
  <c r="AH52" i="1"/>
  <c r="AF53" i="1"/>
  <c r="AG53" i="1"/>
  <c r="AH53" i="1"/>
  <c r="AF54" i="1"/>
  <c r="AG54" i="1"/>
  <c r="AH54" i="1"/>
  <c r="AF55" i="1"/>
  <c r="AG55" i="1"/>
  <c r="AH55" i="1"/>
  <c r="AF56" i="1"/>
  <c r="AG56" i="1"/>
  <c r="AH56" i="1"/>
  <c r="AF57" i="1"/>
  <c r="AG57" i="1"/>
  <c r="AH57" i="1"/>
  <c r="AF58" i="1"/>
  <c r="AG58" i="1"/>
  <c r="AH58" i="1"/>
  <c r="AF59" i="1"/>
  <c r="AG59" i="1"/>
  <c r="AH59" i="1"/>
  <c r="AF60" i="1"/>
  <c r="AG60" i="1"/>
  <c r="AH60" i="1"/>
  <c r="AF61" i="1"/>
  <c r="AG61" i="1"/>
  <c r="AH61" i="1"/>
  <c r="AF62" i="1"/>
  <c r="AG62" i="1"/>
  <c r="AH62" i="1"/>
  <c r="AH3" i="1"/>
  <c r="AG3" i="1"/>
  <c r="AF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3" i="1"/>
  <c r="Y4" i="1"/>
  <c r="Z4" i="1"/>
  <c r="AA4" i="1"/>
  <c r="AB4" i="1"/>
  <c r="Y5" i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Y21" i="1"/>
  <c r="Z21" i="1"/>
  <c r="AA21" i="1"/>
  <c r="AB21" i="1"/>
  <c r="Y22" i="1"/>
  <c r="Z22" i="1"/>
  <c r="AA22" i="1"/>
  <c r="AB22" i="1"/>
  <c r="Y23" i="1"/>
  <c r="Z23" i="1"/>
  <c r="AA23" i="1"/>
  <c r="AB23" i="1"/>
  <c r="Y24" i="1"/>
  <c r="Z24" i="1"/>
  <c r="AA24" i="1"/>
  <c r="AB24" i="1"/>
  <c r="Y25" i="1"/>
  <c r="Z25" i="1"/>
  <c r="AA25" i="1"/>
  <c r="AB25" i="1"/>
  <c r="Y26" i="1"/>
  <c r="Z26" i="1"/>
  <c r="AA26" i="1"/>
  <c r="AB26" i="1"/>
  <c r="Y27" i="1"/>
  <c r="Z27" i="1"/>
  <c r="AA27" i="1"/>
  <c r="AB27" i="1"/>
  <c r="Y28" i="1"/>
  <c r="Z28" i="1"/>
  <c r="AA28" i="1"/>
  <c r="AB28" i="1"/>
  <c r="Y29" i="1"/>
  <c r="Z29" i="1"/>
  <c r="AA29" i="1"/>
  <c r="AB29" i="1"/>
  <c r="Y30" i="1"/>
  <c r="Z30" i="1"/>
  <c r="AA30" i="1"/>
  <c r="AB30" i="1"/>
  <c r="Y31" i="1"/>
  <c r="Z31" i="1"/>
  <c r="AA31" i="1"/>
  <c r="AB31" i="1"/>
  <c r="Y32" i="1"/>
  <c r="Z32" i="1"/>
  <c r="AA32" i="1"/>
  <c r="AB32" i="1"/>
  <c r="Y33" i="1"/>
  <c r="Z33" i="1"/>
  <c r="AA33" i="1"/>
  <c r="AB33" i="1"/>
  <c r="Y34" i="1"/>
  <c r="Z34" i="1"/>
  <c r="AA34" i="1"/>
  <c r="AB34" i="1"/>
  <c r="Y35" i="1"/>
  <c r="Z35" i="1"/>
  <c r="AA35" i="1"/>
  <c r="AB35" i="1"/>
  <c r="Y36" i="1"/>
  <c r="Z36" i="1"/>
  <c r="AA36" i="1"/>
  <c r="AB36" i="1"/>
  <c r="Y37" i="1"/>
  <c r="Z37" i="1"/>
  <c r="AA37" i="1"/>
  <c r="AB37" i="1"/>
  <c r="Y38" i="1"/>
  <c r="Z38" i="1"/>
  <c r="AA38" i="1"/>
  <c r="AB38" i="1"/>
  <c r="Y39" i="1"/>
  <c r="Z39" i="1"/>
  <c r="AA39" i="1"/>
  <c r="AB39" i="1"/>
  <c r="Y40" i="1"/>
  <c r="Z40" i="1"/>
  <c r="AA40" i="1"/>
  <c r="AB40" i="1"/>
  <c r="Y41" i="1"/>
  <c r="Z41" i="1"/>
  <c r="AA41" i="1"/>
  <c r="AB41" i="1"/>
  <c r="Y42" i="1"/>
  <c r="Z42" i="1"/>
  <c r="AA42" i="1"/>
  <c r="AB42" i="1"/>
  <c r="Y43" i="1"/>
  <c r="Z43" i="1"/>
  <c r="AA43" i="1"/>
  <c r="AB43" i="1"/>
  <c r="Y44" i="1"/>
  <c r="Z44" i="1"/>
  <c r="AA44" i="1"/>
  <c r="AB44" i="1"/>
  <c r="Y45" i="1"/>
  <c r="Z45" i="1"/>
  <c r="AA45" i="1"/>
  <c r="AB45" i="1"/>
  <c r="Y46" i="1"/>
  <c r="Z46" i="1"/>
  <c r="AA46" i="1"/>
  <c r="AB46" i="1"/>
  <c r="Y47" i="1"/>
  <c r="Z47" i="1"/>
  <c r="AA47" i="1"/>
  <c r="AB47" i="1"/>
  <c r="Y48" i="1"/>
  <c r="Z48" i="1"/>
  <c r="AA48" i="1"/>
  <c r="AB48" i="1"/>
  <c r="Y49" i="1"/>
  <c r="Z49" i="1"/>
  <c r="AA49" i="1"/>
  <c r="AB49" i="1"/>
  <c r="Y50" i="1"/>
  <c r="Z50" i="1"/>
  <c r="AA50" i="1"/>
  <c r="AB50" i="1"/>
  <c r="Y51" i="1"/>
  <c r="Z51" i="1"/>
  <c r="AA51" i="1"/>
  <c r="AB51" i="1"/>
  <c r="Y52" i="1"/>
  <c r="Z52" i="1"/>
  <c r="AA52" i="1"/>
  <c r="AB52" i="1"/>
  <c r="Y53" i="1"/>
  <c r="Z53" i="1"/>
  <c r="AA53" i="1"/>
  <c r="AB53" i="1"/>
  <c r="Y54" i="1"/>
  <c r="Z54" i="1"/>
  <c r="AA54" i="1"/>
  <c r="AB54" i="1"/>
  <c r="Y55" i="1"/>
  <c r="Z55" i="1"/>
  <c r="AA55" i="1"/>
  <c r="AB55" i="1"/>
  <c r="Y56" i="1"/>
  <c r="Z56" i="1"/>
  <c r="AA56" i="1"/>
  <c r="AB56" i="1"/>
  <c r="Y57" i="1"/>
  <c r="Z57" i="1"/>
  <c r="AA57" i="1"/>
  <c r="AB57" i="1"/>
  <c r="Y58" i="1"/>
  <c r="Z58" i="1"/>
  <c r="AA58" i="1"/>
  <c r="AB58" i="1"/>
  <c r="Y59" i="1"/>
  <c r="Z59" i="1"/>
  <c r="AA59" i="1"/>
  <c r="AB59" i="1"/>
  <c r="Y60" i="1"/>
  <c r="Z60" i="1"/>
  <c r="AA60" i="1"/>
  <c r="AB60" i="1"/>
  <c r="Y61" i="1"/>
  <c r="Z61" i="1"/>
  <c r="AA61" i="1"/>
  <c r="AB61" i="1"/>
  <c r="Y62" i="1"/>
  <c r="Z62" i="1"/>
  <c r="AA62" i="1"/>
  <c r="AB62" i="1"/>
  <c r="Z3" i="1"/>
  <c r="AA3" i="1"/>
  <c r="AB3" i="1"/>
  <c r="Y3" i="1"/>
  <c r="T4" i="1"/>
  <c r="U4" i="1"/>
  <c r="V4" i="1"/>
  <c r="W4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T20" i="1"/>
  <c r="U20" i="1"/>
  <c r="V20" i="1"/>
  <c r="W20" i="1"/>
  <c r="T21" i="1"/>
  <c r="U21" i="1"/>
  <c r="V21" i="1"/>
  <c r="W21" i="1"/>
  <c r="T22" i="1"/>
  <c r="U22" i="1"/>
  <c r="V22" i="1"/>
  <c r="W22" i="1"/>
  <c r="T23" i="1"/>
  <c r="U23" i="1"/>
  <c r="V23" i="1"/>
  <c r="W23" i="1"/>
  <c r="T24" i="1"/>
  <c r="U24" i="1"/>
  <c r="V24" i="1"/>
  <c r="W24" i="1"/>
  <c r="T25" i="1"/>
  <c r="U25" i="1"/>
  <c r="V25" i="1"/>
  <c r="W25" i="1"/>
  <c r="T26" i="1"/>
  <c r="U26" i="1"/>
  <c r="V26" i="1"/>
  <c r="W26" i="1"/>
  <c r="T27" i="1"/>
  <c r="U27" i="1"/>
  <c r="V27" i="1"/>
  <c r="W27" i="1"/>
  <c r="T28" i="1"/>
  <c r="U28" i="1"/>
  <c r="V28" i="1"/>
  <c r="W28" i="1"/>
  <c r="T29" i="1"/>
  <c r="U29" i="1"/>
  <c r="V29" i="1"/>
  <c r="W29" i="1"/>
  <c r="T30" i="1"/>
  <c r="U30" i="1"/>
  <c r="V30" i="1"/>
  <c r="W30" i="1"/>
  <c r="T31" i="1"/>
  <c r="U31" i="1"/>
  <c r="V31" i="1"/>
  <c r="W31" i="1"/>
  <c r="T32" i="1"/>
  <c r="U32" i="1"/>
  <c r="V32" i="1"/>
  <c r="W32" i="1"/>
  <c r="T33" i="1"/>
  <c r="U33" i="1"/>
  <c r="V33" i="1"/>
  <c r="W33" i="1"/>
  <c r="T34" i="1"/>
  <c r="U34" i="1"/>
  <c r="V34" i="1"/>
  <c r="W34" i="1"/>
  <c r="T35" i="1"/>
  <c r="U35" i="1"/>
  <c r="V35" i="1"/>
  <c r="W35" i="1"/>
  <c r="T36" i="1"/>
  <c r="U36" i="1"/>
  <c r="V36" i="1"/>
  <c r="W36" i="1"/>
  <c r="T37" i="1"/>
  <c r="U37" i="1"/>
  <c r="V37" i="1"/>
  <c r="W37" i="1"/>
  <c r="T38" i="1"/>
  <c r="U38" i="1"/>
  <c r="V38" i="1"/>
  <c r="W38" i="1"/>
  <c r="T39" i="1"/>
  <c r="U39" i="1"/>
  <c r="V39" i="1"/>
  <c r="W39" i="1"/>
  <c r="T40" i="1"/>
  <c r="U40" i="1"/>
  <c r="V40" i="1"/>
  <c r="W40" i="1"/>
  <c r="T41" i="1"/>
  <c r="U41" i="1"/>
  <c r="V41" i="1"/>
  <c r="W41" i="1"/>
  <c r="T42" i="1"/>
  <c r="U42" i="1"/>
  <c r="V42" i="1"/>
  <c r="W42" i="1"/>
  <c r="T43" i="1"/>
  <c r="U43" i="1"/>
  <c r="V43" i="1"/>
  <c r="W43" i="1"/>
  <c r="T44" i="1"/>
  <c r="U44" i="1"/>
  <c r="V44" i="1"/>
  <c r="W44" i="1"/>
  <c r="T45" i="1"/>
  <c r="U45" i="1"/>
  <c r="V45" i="1"/>
  <c r="W45" i="1"/>
  <c r="T46" i="1"/>
  <c r="U46" i="1"/>
  <c r="V46" i="1"/>
  <c r="W46" i="1"/>
  <c r="T47" i="1"/>
  <c r="U47" i="1"/>
  <c r="V47" i="1"/>
  <c r="W47" i="1"/>
  <c r="T48" i="1"/>
  <c r="U48" i="1"/>
  <c r="V48" i="1"/>
  <c r="W48" i="1"/>
  <c r="T49" i="1"/>
  <c r="U49" i="1"/>
  <c r="V49" i="1"/>
  <c r="W49" i="1"/>
  <c r="T50" i="1"/>
  <c r="U50" i="1"/>
  <c r="V50" i="1"/>
  <c r="W50" i="1"/>
  <c r="T51" i="1"/>
  <c r="U51" i="1"/>
  <c r="V51" i="1"/>
  <c r="W51" i="1"/>
  <c r="T52" i="1"/>
  <c r="U52" i="1"/>
  <c r="V52" i="1"/>
  <c r="W52" i="1"/>
  <c r="T53" i="1"/>
  <c r="U53" i="1"/>
  <c r="V53" i="1"/>
  <c r="W53" i="1"/>
  <c r="T54" i="1"/>
  <c r="U54" i="1"/>
  <c r="V54" i="1"/>
  <c r="W54" i="1"/>
  <c r="T55" i="1"/>
  <c r="U55" i="1"/>
  <c r="V55" i="1"/>
  <c r="W55" i="1"/>
  <c r="T56" i="1"/>
  <c r="U56" i="1"/>
  <c r="V56" i="1"/>
  <c r="W56" i="1"/>
  <c r="T57" i="1"/>
  <c r="U57" i="1"/>
  <c r="V57" i="1"/>
  <c r="W57" i="1"/>
  <c r="T58" i="1"/>
  <c r="U58" i="1"/>
  <c r="V58" i="1"/>
  <c r="W58" i="1"/>
  <c r="T59" i="1"/>
  <c r="U59" i="1"/>
  <c r="V59" i="1"/>
  <c r="W59" i="1"/>
  <c r="T60" i="1"/>
  <c r="U60" i="1"/>
  <c r="V60" i="1"/>
  <c r="W60" i="1"/>
  <c r="T61" i="1"/>
  <c r="U61" i="1"/>
  <c r="V61" i="1"/>
  <c r="W61" i="1"/>
  <c r="T62" i="1"/>
  <c r="U62" i="1"/>
  <c r="V62" i="1"/>
  <c r="W62" i="1"/>
  <c r="U3" i="1"/>
  <c r="V3" i="1"/>
  <c r="W3" i="1"/>
  <c r="T3" i="1"/>
</calcChain>
</file>

<file path=xl/sharedStrings.xml><?xml version="1.0" encoding="utf-8"?>
<sst xmlns="http://schemas.openxmlformats.org/spreadsheetml/2006/main" count="95" uniqueCount="39">
  <si>
    <t>Starting Composition</t>
  </si>
  <si>
    <t>Solid Composition</t>
  </si>
  <si>
    <t>Liquor Composition</t>
  </si>
  <si>
    <t>Mixture_id</t>
  </si>
  <si>
    <t>Component 1</t>
  </si>
  <si>
    <t>Component 2</t>
  </si>
  <si>
    <t>Component 3</t>
  </si>
  <si>
    <t>Component 4</t>
  </si>
  <si>
    <t>Recovery</t>
  </si>
  <si>
    <t>Rel. Sol. Volume</t>
  </si>
  <si>
    <t>Rmax</t>
  </si>
  <si>
    <t>Rel. Sol. Volume @ Rmax</t>
  </si>
  <si>
    <t>260823_001</t>
  </si>
  <si>
    <t>260823_002</t>
  </si>
  <si>
    <t>260823_003</t>
  </si>
  <si>
    <t>260823_004</t>
  </si>
  <si>
    <t>260823_005</t>
  </si>
  <si>
    <t>260823_006</t>
  </si>
  <si>
    <t>260823_007</t>
  </si>
  <si>
    <t>260823_008</t>
  </si>
  <si>
    <t>260823_009</t>
  </si>
  <si>
    <t>260823_010</t>
  </si>
  <si>
    <t>260823_011</t>
  </si>
  <si>
    <t>260823_012</t>
  </si>
  <si>
    <t>260823_013</t>
  </si>
  <si>
    <t>260823_014</t>
  </si>
  <si>
    <t>260823_015</t>
  </si>
  <si>
    <t>260823_016</t>
  </si>
  <si>
    <t>260823_017</t>
  </si>
  <si>
    <t>260823_018</t>
  </si>
  <si>
    <t>260823_019</t>
  </si>
  <si>
    <t>260823_020</t>
  </si>
  <si>
    <t>Mass Balance Chek - Lever Rule</t>
  </si>
  <si>
    <t>Mass Balance Check - Deltas</t>
  </si>
  <si>
    <t>Slice Range R=100% - Rmax</t>
  </si>
  <si>
    <t>Normalization Cross Check</t>
  </si>
  <si>
    <t>Xc</t>
  </si>
  <si>
    <t>Xs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</si>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</sst>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%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D9D9D9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5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164" fontId="0" fillId="0" borderId="0" xfId="0" applyNumberFormat="1" applyAlignment="1">
      <alignment horizontal="center"/>
    </xf>
    <xf numFmtId="10" fontId="0" fillId="0" borderId="0" xfId="0" applyNumberFormat="1"/>
    <xf numFmtId="165" fontId="0" fillId="0" borderId="0" xfId="0" applyNumberFormat="1"/>
    <xf numFmtId="0" fontId="1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0" xfId="0" applyFont="1" applyFill="1"/>
    <xf numFmtId="0" fontId="1" fillId="6" borderId="0" xfId="0" applyFont="1" applyFill="1" applyBorder="1" applyAlignment="1">
      <alignment horizontal="center"/>
    </xf>
    <xf numFmtId="164" fontId="0" fillId="0" borderId="0" xfId="0" applyNumberFormat="1"/>
    <xf numFmtId="0" fontId="1" fillId="6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3"/>
  <sheetViews>
    <sheetView tabSelected="1" topLeftCell="P1" workbookViewId="0">
      <pane ySplit="2" topLeftCell="A3" activePane="bottomLeft" state="frozen"/>
      <selection pane="bottomLeft" activeCell="AE8" sqref="AE8"/>
    </sheetView>
  </sheetViews>
  <sheetFormatPr defaultRowHeight="14.4" x14ac:dyDescent="0.3"/>
  <cols>
    <col min="1" max="17" width="14" customWidth="1"/>
    <col min="20" max="20" width="13.6640625" customWidth="1"/>
    <col min="21" max="21" width="15.77734375" customWidth="1"/>
    <col min="22" max="22" width="15.21875" customWidth="1"/>
    <col min="23" max="23" width="12.5546875" customWidth="1"/>
    <col min="25" max="25" width="15.109375" customWidth="1"/>
    <col min="26" max="26" width="13.5546875" customWidth="1"/>
    <col min="27" max="27" width="13.77734375" customWidth="1"/>
    <col min="28" max="28" width="13.33203125" customWidth="1"/>
    <col min="30" max="30" width="22.44140625" customWidth="1"/>
    <col min="32" max="34" width="11" bestFit="1" customWidth="1"/>
  </cols>
  <sheetData>
    <row r="1" spans="1:34" x14ac:dyDescent="0.3">
      <c r="A1" s="1"/>
      <c r="B1" s="15" t="s">
        <v>0</v>
      </c>
      <c r="C1" s="14"/>
      <c r="D1" s="14"/>
      <c r="E1" s="14"/>
      <c r="F1" s="16" t="s">
        <v>1</v>
      </c>
      <c r="G1" s="14"/>
      <c r="H1" s="14"/>
      <c r="I1" s="14"/>
      <c r="J1" s="13" t="s">
        <v>2</v>
      </c>
      <c r="K1" s="14"/>
      <c r="L1" s="14"/>
      <c r="M1" s="14"/>
      <c r="N1" s="2"/>
      <c r="O1" s="2"/>
      <c r="P1" s="2"/>
      <c r="Q1" s="2"/>
      <c r="T1" s="17" t="s">
        <v>32</v>
      </c>
      <c r="U1" s="18"/>
      <c r="V1" s="18"/>
      <c r="W1" s="18"/>
      <c r="Y1" s="17" t="s">
        <v>33</v>
      </c>
      <c r="Z1" s="18"/>
      <c r="AA1" s="18"/>
      <c r="AB1" s="18"/>
      <c r="AF1" s="21" t="s">
        <v>35</v>
      </c>
      <c r="AG1" s="21"/>
      <c r="AH1" s="21"/>
    </row>
    <row r="2" spans="1:34" x14ac:dyDescent="0.3">
      <c r="A2" s="1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4" t="s">
        <v>4</v>
      </c>
      <c r="G2" s="4" t="s">
        <v>5</v>
      </c>
      <c r="H2" s="4" t="s">
        <v>6</v>
      </c>
      <c r="I2" s="4" t="s">
        <v>7</v>
      </c>
      <c r="J2" s="5" t="s">
        <v>4</v>
      </c>
      <c r="K2" s="5" t="s">
        <v>5</v>
      </c>
      <c r="L2" s="5" t="s">
        <v>6</v>
      </c>
      <c r="M2" s="5" t="s">
        <v>7</v>
      </c>
      <c r="N2" s="1" t="s">
        <v>8</v>
      </c>
      <c r="O2" s="1" t="s">
        <v>9</v>
      </c>
      <c r="P2" s="1" t="s">
        <v>10</v>
      </c>
      <c r="Q2" s="1" t="s">
        <v>11</v>
      </c>
      <c r="T2" s="9" t="s">
        <v>4</v>
      </c>
      <c r="U2" s="9" t="s">
        <v>5</v>
      </c>
      <c r="V2" s="9" t="s">
        <v>6</v>
      </c>
      <c r="W2" s="9" t="s">
        <v>7</v>
      </c>
      <c r="X2" s="10"/>
      <c r="Y2" s="9" t="s">
        <v>4</v>
      </c>
      <c r="Z2" s="9" t="s">
        <v>5</v>
      </c>
      <c r="AA2" s="9" t="s">
        <v>6</v>
      </c>
      <c r="AB2" s="9" t="s">
        <v>7</v>
      </c>
      <c r="AD2" s="12" t="s">
        <v>34</v>
      </c>
      <c r="AF2" s="19" t="s">
        <v>36</v>
      </c>
      <c r="AG2" s="19" t="s">
        <v>37</v>
      </c>
      <c r="AH2" s="19" t="s">
        <v>38</v>
      </c>
    </row>
    <row r="3" spans="1:34" x14ac:dyDescent="0.3">
      <c r="A3" t="s">
        <v>12</v>
      </c>
      <c r="B3" s="6">
        <v>0.76732119470000004</v>
      </c>
      <c r="C3" s="6">
        <v>7.7789214699999998E-2</v>
      </c>
      <c r="D3" s="6">
        <v>6.80806194E-2</v>
      </c>
      <c r="E3" s="6">
        <v>8.6808971200000001E-2</v>
      </c>
      <c r="F3" s="6">
        <v>0.82663378600000004</v>
      </c>
      <c r="G3" s="6">
        <v>6.7542843199999994E-2</v>
      </c>
      <c r="H3" s="6">
        <v>4.79567022E-2</v>
      </c>
      <c r="I3" s="6">
        <v>5.7866668599999997E-2</v>
      </c>
      <c r="J3" s="6">
        <v>7.7753113200000001E-2</v>
      </c>
      <c r="K3" s="6">
        <v>0.19691351209999999</v>
      </c>
      <c r="L3" s="6">
        <v>0.30204124529999998</v>
      </c>
      <c r="M3" s="6">
        <v>0.42329212939999999</v>
      </c>
      <c r="N3" s="7">
        <v>0.92079834140000005</v>
      </c>
      <c r="O3" s="8">
        <v>0.21673820539999999</v>
      </c>
      <c r="P3" s="7">
        <v>0.68020924579999997</v>
      </c>
      <c r="Q3" s="8">
        <v>0.78507746970000003</v>
      </c>
      <c r="T3" s="11">
        <f>(B3-J3)/(F3-J3)</f>
        <v>0.92079834150581652</v>
      </c>
      <c r="U3" s="11">
        <f t="shared" ref="U3:W3" si="0">(C3-K3)/(G3-K3)</f>
        <v>0.92079834179476838</v>
      </c>
      <c r="V3" s="11">
        <f t="shared" si="0"/>
        <v>0.92079834155012008</v>
      </c>
      <c r="W3" s="11">
        <f t="shared" si="0"/>
        <v>0.92079834137271466</v>
      </c>
      <c r="X3" s="10"/>
      <c r="Y3" s="11">
        <f>ABS(T3-$N3)</f>
        <v>1.058164667000483E-10</v>
      </c>
      <c r="Z3" s="11">
        <f t="shared" ref="Z3:AB3" si="1">ABS(U3-$N3)</f>
        <v>3.9476832913720727E-10</v>
      </c>
      <c r="AA3" s="11">
        <f t="shared" si="1"/>
        <v>1.5012002752001763E-10</v>
      </c>
      <c r="AB3" s="11">
        <f t="shared" si="1"/>
        <v>2.728539616470016E-11</v>
      </c>
      <c r="AD3" s="11" t="b">
        <f>(N3&gt;P3)</f>
        <v>1</v>
      </c>
      <c r="AF3" s="20">
        <f>SUM(B3:E3)</f>
        <v>1</v>
      </c>
      <c r="AG3" s="20">
        <f>SUM(F3:I3)</f>
        <v>1</v>
      </c>
      <c r="AH3" s="20">
        <f>SUM(J3:M3)</f>
        <v>1</v>
      </c>
    </row>
    <row r="4" spans="1:34" x14ac:dyDescent="0.3">
      <c r="A4" t="s">
        <v>12</v>
      </c>
      <c r="B4" s="6">
        <v>0.76732119470000004</v>
      </c>
      <c r="C4" s="6">
        <v>7.7789214699999998E-2</v>
      </c>
      <c r="D4" s="6">
        <v>6.80806194E-2</v>
      </c>
      <c r="E4" s="6">
        <v>8.6808971200000001E-2</v>
      </c>
      <c r="F4" s="6">
        <v>0.88147309149999997</v>
      </c>
      <c r="G4" s="6">
        <v>5.8069240899999999E-2</v>
      </c>
      <c r="H4" s="6">
        <v>2.9350507099999999E-2</v>
      </c>
      <c r="I4" s="6">
        <v>3.11071604E-2</v>
      </c>
      <c r="J4" s="6">
        <v>0.13259241869999999</v>
      </c>
      <c r="K4" s="6">
        <v>0.1874399098</v>
      </c>
      <c r="L4" s="6">
        <v>0.28343505019999998</v>
      </c>
      <c r="M4" s="6">
        <v>0.3965326213</v>
      </c>
      <c r="N4" s="7">
        <v>0.84756997869999995</v>
      </c>
      <c r="O4" s="8">
        <v>0.4171302704</v>
      </c>
      <c r="P4" s="7">
        <v>0.68020924579999997</v>
      </c>
      <c r="Q4" s="8">
        <v>0.78507746970000003</v>
      </c>
      <c r="T4" s="11">
        <f t="shared" ref="T4:T62" si="2">(B4-J4)/(F4-J4)</f>
        <v>0.84756997884162788</v>
      </c>
      <c r="U4" s="11">
        <f t="shared" ref="U4:U62" si="3">(C4-K4)/(G4-K4)</f>
        <v>0.84756997882384766</v>
      </c>
      <c r="V4" s="11">
        <f t="shared" ref="V4:V62" si="4">(D4-L4)/(H4-L4)</f>
        <v>0.84756997876585904</v>
      </c>
      <c r="W4" s="11">
        <f t="shared" ref="W4:W62" si="5">(E4-M4)/(I4-M4)</f>
        <v>0.8475699786686649</v>
      </c>
      <c r="X4" s="10"/>
      <c r="Y4" s="11">
        <f t="shared" ref="Y4:Y62" si="6">ABS(T4-$N4)</f>
        <v>1.4162793160465981E-10</v>
      </c>
      <c r="Z4" s="11">
        <f t="shared" ref="Z4:Z62" si="7">ABS(U4-$N4)</f>
        <v>1.2384770986528792E-10</v>
      </c>
      <c r="AA4" s="11">
        <f t="shared" ref="AA4:AA62" si="8">ABS(V4-$N4)</f>
        <v>6.5859095954579061E-11</v>
      </c>
      <c r="AB4" s="11">
        <f t="shared" ref="AB4:AB62" si="9">ABS(W4-$N4)</f>
        <v>3.1335045669322881E-11</v>
      </c>
      <c r="AD4" s="11" t="b">
        <f t="shared" ref="AD4:AD62" si="10">(N4&gt;P4)</f>
        <v>1</v>
      </c>
      <c r="AF4" s="20">
        <f t="shared" ref="AF4:AF62" si="11">SUM(B4:E4)</f>
        <v>1</v>
      </c>
      <c r="AG4" s="20">
        <f t="shared" ref="AG4:AG62" si="12">SUM(F4:I4)</f>
        <v>0.99999999989999999</v>
      </c>
      <c r="AH4" s="20">
        <f t="shared" ref="AH4:AH62" si="13">SUM(J4:M4)</f>
        <v>1</v>
      </c>
    </row>
    <row r="5" spans="1:34" x14ac:dyDescent="0.3">
      <c r="A5" t="s">
        <v>12</v>
      </c>
      <c r="B5" s="6">
        <v>0.76732119470000004</v>
      </c>
      <c r="C5" s="6">
        <v>7.7789214699999998E-2</v>
      </c>
      <c r="D5" s="6">
        <v>6.80806194E-2</v>
      </c>
      <c r="E5" s="6">
        <v>8.6808971200000001E-2</v>
      </c>
      <c r="F5" s="6">
        <v>0.93710585420000003</v>
      </c>
      <c r="G5" s="6">
        <v>4.8458567299999998E-2</v>
      </c>
      <c r="H5" s="6">
        <v>1.04751034E-2</v>
      </c>
      <c r="I5" s="6">
        <v>3.9604751999999998E-3</v>
      </c>
      <c r="J5" s="6">
        <v>0.18822518129999999</v>
      </c>
      <c r="K5" s="6">
        <v>0.17782923619999999</v>
      </c>
      <c r="L5" s="6">
        <v>0.26455964640000001</v>
      </c>
      <c r="M5" s="6">
        <v>0.36938593600000003</v>
      </c>
      <c r="N5" s="7">
        <v>0.77328209199999998</v>
      </c>
      <c r="O5" s="8">
        <v>0.62042176130000004</v>
      </c>
      <c r="P5" s="7">
        <v>0.68020924579999997</v>
      </c>
      <c r="Q5" s="8">
        <v>0.78507746970000003</v>
      </c>
      <c r="T5" s="11">
        <f t="shared" si="2"/>
        <v>0.77328209200203013</v>
      </c>
      <c r="U5" s="11">
        <f t="shared" si="3"/>
        <v>0.77328209207396315</v>
      </c>
      <c r="V5" s="11">
        <f t="shared" si="4"/>
        <v>0.77328209217354882</v>
      </c>
      <c r="W5" s="11">
        <f t="shared" si="5"/>
        <v>0.77328209200687426</v>
      </c>
      <c r="X5" s="10"/>
      <c r="Y5" s="11">
        <f t="shared" si="6"/>
        <v>2.0301538228295612E-12</v>
      </c>
      <c r="Z5" s="11">
        <f t="shared" si="7"/>
        <v>7.3963168922830391E-11</v>
      </c>
      <c r="AA5" s="11">
        <f t="shared" si="8"/>
        <v>1.7354884196407738E-10</v>
      </c>
      <c r="AB5" s="11">
        <f t="shared" si="9"/>
        <v>6.8742789238740443E-12</v>
      </c>
      <c r="AD5" s="11" t="b">
        <f t="shared" si="10"/>
        <v>1</v>
      </c>
      <c r="AF5" s="20">
        <f t="shared" si="11"/>
        <v>1</v>
      </c>
      <c r="AG5" s="20">
        <f t="shared" si="12"/>
        <v>1.0000000001</v>
      </c>
      <c r="AH5" s="20">
        <f t="shared" si="13"/>
        <v>0.99999999989999999</v>
      </c>
    </row>
    <row r="6" spans="1:34" x14ac:dyDescent="0.3">
      <c r="A6" t="s">
        <v>13</v>
      </c>
      <c r="B6" s="6">
        <v>0.79290297190000003</v>
      </c>
      <c r="C6" s="6">
        <v>6.0245643100000003E-2</v>
      </c>
      <c r="D6" s="6">
        <v>6.45294644E-2</v>
      </c>
      <c r="E6" s="6">
        <v>8.2321920600000001E-2</v>
      </c>
      <c r="F6" s="6">
        <v>0.84936173150000005</v>
      </c>
      <c r="G6" s="6">
        <v>4.5287404000000003E-2</v>
      </c>
      <c r="H6" s="6">
        <v>3.2447895499999997E-2</v>
      </c>
      <c r="I6" s="6">
        <v>7.2902968999999998E-2</v>
      </c>
      <c r="J6" s="6">
        <v>9.7769270899999997E-2</v>
      </c>
      <c r="K6" s="6">
        <v>0.2444150477</v>
      </c>
      <c r="L6" s="6">
        <v>0.45952538409999999</v>
      </c>
      <c r="M6" s="6">
        <v>0.1982902973</v>
      </c>
      <c r="N6" s="7">
        <v>0.9248811522</v>
      </c>
      <c r="O6" s="8">
        <v>0.1758904409</v>
      </c>
      <c r="P6" s="7">
        <v>0.72799430720000002</v>
      </c>
      <c r="Q6" s="8">
        <v>0.56295631629999998</v>
      </c>
      <c r="T6" s="11">
        <f t="shared" si="2"/>
        <v>0.92488115227376189</v>
      </c>
      <c r="U6" s="11">
        <f t="shared" si="3"/>
        <v>0.92488115250067615</v>
      </c>
      <c r="V6" s="11">
        <f t="shared" si="4"/>
        <v>0.92488115211792965</v>
      </c>
      <c r="W6" s="11">
        <f t="shared" si="5"/>
        <v>0.92488115244417413</v>
      </c>
      <c r="X6" s="10"/>
      <c r="Y6" s="11">
        <f t="shared" si="6"/>
        <v>7.376188548846585E-11</v>
      </c>
      <c r="Z6" s="11">
        <f t="shared" si="7"/>
        <v>3.0067615064410802E-10</v>
      </c>
      <c r="AA6" s="11">
        <f t="shared" si="8"/>
        <v>8.2070350515550672E-11</v>
      </c>
      <c r="AB6" s="11">
        <f t="shared" si="9"/>
        <v>2.4417412536337224E-10</v>
      </c>
      <c r="AD6" s="11" t="b">
        <f t="shared" si="10"/>
        <v>1</v>
      </c>
      <c r="AF6" s="20">
        <f t="shared" si="11"/>
        <v>1</v>
      </c>
      <c r="AG6" s="20">
        <f t="shared" si="12"/>
        <v>1</v>
      </c>
      <c r="AH6" s="20">
        <f t="shared" si="13"/>
        <v>1</v>
      </c>
    </row>
    <row r="7" spans="1:34" x14ac:dyDescent="0.3">
      <c r="A7" t="s">
        <v>13</v>
      </c>
      <c r="B7" s="6">
        <v>0.79290297190000003</v>
      </c>
      <c r="C7" s="6">
        <v>6.0245643100000003E-2</v>
      </c>
      <c r="D7" s="6">
        <v>6.45294644E-2</v>
      </c>
      <c r="E7" s="6">
        <v>8.2321920600000001E-2</v>
      </c>
      <c r="F7" s="6">
        <v>0.88541245869999996</v>
      </c>
      <c r="G7" s="6">
        <v>3.5736088899999997E-2</v>
      </c>
      <c r="H7" s="6">
        <v>1.19627858E-2</v>
      </c>
      <c r="I7" s="6">
        <v>6.6888666499999999E-2</v>
      </c>
      <c r="J7" s="6">
        <v>0.1338199981</v>
      </c>
      <c r="K7" s="6">
        <v>0.23486373269999999</v>
      </c>
      <c r="L7" s="6">
        <v>0.43904027429999998</v>
      </c>
      <c r="M7" s="6">
        <v>0.1922759949</v>
      </c>
      <c r="N7" s="7">
        <v>0.87691536079999999</v>
      </c>
      <c r="O7" s="8">
        <v>0.28820212369999998</v>
      </c>
      <c r="P7" s="7">
        <v>0.72799430720000002</v>
      </c>
      <c r="Q7" s="8">
        <v>0.56295631629999998</v>
      </c>
      <c r="T7" s="11">
        <f t="shared" si="2"/>
        <v>0.87691536085107991</v>
      </c>
      <c r="U7" s="11">
        <f t="shared" si="3"/>
        <v>0.87691536075916743</v>
      </c>
      <c r="V7" s="11">
        <f t="shared" si="4"/>
        <v>0.87691536075894094</v>
      </c>
      <c r="W7" s="11">
        <f t="shared" si="5"/>
        <v>0.87691536061151132</v>
      </c>
      <c r="X7" s="10"/>
      <c r="Y7" s="11">
        <f t="shared" si="6"/>
        <v>5.107991807307144E-11</v>
      </c>
      <c r="Z7" s="11">
        <f t="shared" si="7"/>
        <v>4.0832559555781245E-11</v>
      </c>
      <c r="AA7" s="11">
        <f t="shared" si="8"/>
        <v>4.1059045052804777E-11</v>
      </c>
      <c r="AB7" s="11">
        <f t="shared" si="9"/>
        <v>1.8848866911724826E-10</v>
      </c>
      <c r="AD7" s="11" t="b">
        <f t="shared" si="10"/>
        <v>1</v>
      </c>
      <c r="AF7" s="20">
        <f t="shared" si="11"/>
        <v>1</v>
      </c>
      <c r="AG7" s="20">
        <f t="shared" si="12"/>
        <v>0.99999999989999999</v>
      </c>
      <c r="AH7" s="20">
        <f t="shared" si="13"/>
        <v>1</v>
      </c>
    </row>
    <row r="8" spans="1:34" x14ac:dyDescent="0.3">
      <c r="A8" t="s">
        <v>13</v>
      </c>
      <c r="B8" s="6">
        <v>0.79290297190000003</v>
      </c>
      <c r="C8" s="6">
        <v>6.0245643100000003E-2</v>
      </c>
      <c r="D8" s="6">
        <v>6.45294644E-2</v>
      </c>
      <c r="E8" s="6">
        <v>8.2321920600000001E-2</v>
      </c>
      <c r="F8" s="6">
        <v>0.95808951499999995</v>
      </c>
      <c r="G8" s="6">
        <v>0</v>
      </c>
      <c r="H8" s="6">
        <v>0</v>
      </c>
      <c r="I8" s="6">
        <v>4.1910484999999997E-2</v>
      </c>
      <c r="J8" s="6">
        <v>0.18601150969999999</v>
      </c>
      <c r="K8" s="6">
        <v>0.28158671460000001</v>
      </c>
      <c r="L8" s="6">
        <v>0.30160919409999998</v>
      </c>
      <c r="M8" s="6">
        <v>0.23079258159999999</v>
      </c>
      <c r="N8" s="7">
        <v>0.78604941210000001</v>
      </c>
      <c r="O8" s="8">
        <v>0.48253741379999998</v>
      </c>
      <c r="P8" s="7">
        <v>0.72799430720000002</v>
      </c>
      <c r="Q8" s="8">
        <v>0.56295631629999998</v>
      </c>
      <c r="T8" s="11">
        <f t="shared" si="2"/>
        <v>0.78604941214998769</v>
      </c>
      <c r="U8" s="11">
        <f t="shared" si="3"/>
        <v>0.78604941221896696</v>
      </c>
      <c r="V8" s="11">
        <f t="shared" si="4"/>
        <v>0.78604941207924528</v>
      </c>
      <c r="W8" s="11">
        <f t="shared" si="5"/>
        <v>0.7860494121601147</v>
      </c>
      <c r="X8" s="10"/>
      <c r="Y8" s="11">
        <f t="shared" si="6"/>
        <v>4.9987680661445211E-11</v>
      </c>
      <c r="Z8" s="11">
        <f t="shared" si="7"/>
        <v>1.1896694740443081E-10</v>
      </c>
      <c r="AA8" s="11">
        <f t="shared" si="8"/>
        <v>2.0754731266947601E-11</v>
      </c>
      <c r="AB8" s="11">
        <f t="shared" si="9"/>
        <v>6.0114691002866039E-11</v>
      </c>
      <c r="AD8" s="11" t="b">
        <f t="shared" si="10"/>
        <v>1</v>
      </c>
      <c r="AF8" s="20">
        <f t="shared" si="11"/>
        <v>1</v>
      </c>
      <c r="AG8" s="20">
        <f t="shared" si="12"/>
        <v>1</v>
      </c>
      <c r="AH8" s="20">
        <f t="shared" si="13"/>
        <v>1</v>
      </c>
    </row>
    <row r="9" spans="1:34" x14ac:dyDescent="0.3">
      <c r="A9" t="s">
        <v>14</v>
      </c>
      <c r="B9" s="6">
        <v>0.81318658160000001</v>
      </c>
      <c r="C9" s="6">
        <v>7.4322937699999994E-2</v>
      </c>
      <c r="D9" s="6">
        <v>4.97015632E-2</v>
      </c>
      <c r="E9" s="6">
        <v>6.2788917499999999E-2</v>
      </c>
      <c r="F9" s="6">
        <v>0.86502532700000001</v>
      </c>
      <c r="G9" s="6">
        <v>5.8105895900000003E-2</v>
      </c>
      <c r="H9" s="6">
        <v>4.0944339500000003E-2</v>
      </c>
      <c r="I9" s="6">
        <v>3.5924437599999998E-2</v>
      </c>
      <c r="J9" s="6">
        <v>0.1459508018</v>
      </c>
      <c r="K9" s="6">
        <v>0.2830585162</v>
      </c>
      <c r="L9" s="6">
        <v>0.16241904800000001</v>
      </c>
      <c r="M9" s="6">
        <v>0.40857163390000001</v>
      </c>
      <c r="N9" s="7">
        <v>0.92790907820000001</v>
      </c>
      <c r="O9" s="8">
        <v>0.1934562302</v>
      </c>
      <c r="P9" s="7">
        <v>0.73971946290000001</v>
      </c>
      <c r="Q9" s="8">
        <v>0.63395540559999997</v>
      </c>
      <c r="T9" s="11">
        <f t="shared" si="2"/>
        <v>0.92790907815072188</v>
      </c>
      <c r="U9" s="11">
        <f t="shared" si="3"/>
        <v>0.9279090780166388</v>
      </c>
      <c r="V9" s="11">
        <f t="shared" si="4"/>
        <v>0.92790907829179947</v>
      </c>
      <c r="W9" s="11">
        <f t="shared" si="5"/>
        <v>0.92790907816632895</v>
      </c>
      <c r="X9" s="10"/>
      <c r="Y9" s="11">
        <f t="shared" si="6"/>
        <v>4.9278137126407273E-11</v>
      </c>
      <c r="Z9" s="11">
        <f t="shared" si="7"/>
        <v>1.8336121510031944E-10</v>
      </c>
      <c r="AA9" s="11">
        <f t="shared" si="8"/>
        <v>9.1799456924945844E-11</v>
      </c>
      <c r="AB9" s="11">
        <f t="shared" si="9"/>
        <v>3.3671065935436673E-11</v>
      </c>
      <c r="AD9" s="11" t="b">
        <f t="shared" si="10"/>
        <v>1</v>
      </c>
      <c r="AF9" s="20">
        <f t="shared" si="11"/>
        <v>1</v>
      </c>
      <c r="AG9" s="20">
        <f t="shared" si="12"/>
        <v>1</v>
      </c>
      <c r="AH9" s="20">
        <f t="shared" si="13"/>
        <v>0.99999999989999999</v>
      </c>
    </row>
    <row r="10" spans="1:34" x14ac:dyDescent="0.3">
      <c r="A10" t="s">
        <v>14</v>
      </c>
      <c r="B10" s="6">
        <v>0.81318658160000001</v>
      </c>
      <c r="C10" s="6">
        <v>7.4322937699999994E-2</v>
      </c>
      <c r="D10" s="6">
        <v>4.97015632E-2</v>
      </c>
      <c r="E10" s="6">
        <v>6.2788917499999999E-2</v>
      </c>
      <c r="F10" s="6">
        <v>0.91411092719999998</v>
      </c>
      <c r="G10" s="6">
        <v>4.2750137899999999E-2</v>
      </c>
      <c r="H10" s="6">
        <v>3.2652210199999997E-2</v>
      </c>
      <c r="I10" s="6">
        <v>1.04867247E-2</v>
      </c>
      <c r="J10" s="6">
        <v>0.19503640210000001</v>
      </c>
      <c r="K10" s="6">
        <v>0.2677027582</v>
      </c>
      <c r="L10" s="6">
        <v>0.1541269187</v>
      </c>
      <c r="M10" s="6">
        <v>0.3831339211</v>
      </c>
      <c r="N10" s="7">
        <v>0.85964689049999998</v>
      </c>
      <c r="O10" s="8">
        <v>0.37663803969999998</v>
      </c>
      <c r="P10" s="7">
        <v>0.73971946290000001</v>
      </c>
      <c r="Q10" s="8">
        <v>0.63395540559999997</v>
      </c>
      <c r="T10" s="11">
        <f t="shared" si="2"/>
        <v>0.8596468904444019</v>
      </c>
      <c r="U10" s="11">
        <f t="shared" si="3"/>
        <v>0.85964689027452068</v>
      </c>
      <c r="V10" s="11">
        <f t="shared" si="4"/>
        <v>0.85964689102341008</v>
      </c>
      <c r="W10" s="11">
        <f t="shared" si="5"/>
        <v>0.85964689039587261</v>
      </c>
      <c r="X10" s="10"/>
      <c r="Y10" s="11">
        <f t="shared" si="6"/>
        <v>5.5598081694085977E-11</v>
      </c>
      <c r="Z10" s="11">
        <f t="shared" si="7"/>
        <v>2.2547930189631415E-10</v>
      </c>
      <c r="AA10" s="11">
        <f t="shared" si="8"/>
        <v>5.2341009304512909E-10</v>
      </c>
      <c r="AB10" s="11">
        <f t="shared" si="9"/>
        <v>1.0412737339038358E-10</v>
      </c>
      <c r="AD10" s="11" t="b">
        <f t="shared" si="10"/>
        <v>1</v>
      </c>
      <c r="AF10" s="20">
        <f t="shared" si="11"/>
        <v>1</v>
      </c>
      <c r="AG10" s="20">
        <f t="shared" si="12"/>
        <v>1</v>
      </c>
      <c r="AH10" s="20">
        <f t="shared" si="13"/>
        <v>1.0000000001</v>
      </c>
    </row>
    <row r="11" spans="1:34" x14ac:dyDescent="0.3">
      <c r="A11" t="s">
        <v>14</v>
      </c>
      <c r="B11" s="6">
        <v>0.81318658160000001</v>
      </c>
      <c r="C11" s="6">
        <v>7.4322937699999994E-2</v>
      </c>
      <c r="D11" s="6">
        <v>4.97015632E-2</v>
      </c>
      <c r="E11" s="6">
        <v>6.2788917499999999E-2</v>
      </c>
      <c r="F11" s="6">
        <v>0.94944575109999996</v>
      </c>
      <c r="G11" s="6">
        <v>2.65527214E-2</v>
      </c>
      <c r="H11" s="6">
        <v>2.4001527500000001E-2</v>
      </c>
      <c r="I11" s="6">
        <v>0</v>
      </c>
      <c r="J11" s="6">
        <v>0.22493085469999999</v>
      </c>
      <c r="K11" s="6">
        <v>0.28055568829999999</v>
      </c>
      <c r="L11" s="6">
        <v>0.16065331259999999</v>
      </c>
      <c r="M11" s="6">
        <v>0.33386014450000001</v>
      </c>
      <c r="N11" s="7">
        <v>0.81193047900000004</v>
      </c>
      <c r="O11" s="8">
        <v>0.49099054019999999</v>
      </c>
      <c r="P11" s="7">
        <v>0.73971946290000001</v>
      </c>
      <c r="Q11" s="8">
        <v>0.63395540559999997</v>
      </c>
      <c r="T11" s="11">
        <f t="shared" si="2"/>
        <v>0.81193047903217697</v>
      </c>
      <c r="U11" s="11">
        <f t="shared" si="3"/>
        <v>0.81193047906874671</v>
      </c>
      <c r="V11" s="11">
        <f t="shared" si="4"/>
        <v>0.81193047949433639</v>
      </c>
      <c r="W11" s="11">
        <f t="shared" si="5"/>
        <v>0.81193047887152048</v>
      </c>
      <c r="X11" s="10"/>
      <c r="Y11" s="11">
        <f t="shared" si="6"/>
        <v>3.2176927788896137E-11</v>
      </c>
      <c r="Z11" s="11">
        <f t="shared" si="7"/>
        <v>6.8746675019326631E-11</v>
      </c>
      <c r="AA11" s="11">
        <f t="shared" si="8"/>
        <v>4.9433634963236273E-10</v>
      </c>
      <c r="AB11" s="11">
        <f t="shared" si="9"/>
        <v>1.2847956032402408E-10</v>
      </c>
      <c r="AD11" s="11" t="b">
        <f t="shared" si="10"/>
        <v>1</v>
      </c>
      <c r="AF11" s="20">
        <f t="shared" si="11"/>
        <v>1</v>
      </c>
      <c r="AG11" s="20">
        <f t="shared" si="12"/>
        <v>0.99999999999999989</v>
      </c>
      <c r="AH11" s="20">
        <f t="shared" si="13"/>
        <v>1.0000000001</v>
      </c>
    </row>
    <row r="12" spans="1:34" x14ac:dyDescent="0.3">
      <c r="A12" t="s">
        <v>15</v>
      </c>
      <c r="B12" s="6">
        <v>0.79837194219999996</v>
      </c>
      <c r="C12" s="6">
        <v>8.6131397999999998E-2</v>
      </c>
      <c r="D12" s="6">
        <v>4.7998000499999999E-2</v>
      </c>
      <c r="E12" s="6">
        <v>6.74986593E-2</v>
      </c>
      <c r="F12" s="6">
        <v>0.84729128750000005</v>
      </c>
      <c r="G12" s="6">
        <v>6.7610086700000002E-2</v>
      </c>
      <c r="H12" s="6">
        <v>3.7471438400000001E-2</v>
      </c>
      <c r="I12" s="6">
        <v>4.76271874E-2</v>
      </c>
      <c r="J12" s="6">
        <v>8.2092719999999994E-2</v>
      </c>
      <c r="K12" s="6">
        <v>0.357321259</v>
      </c>
      <c r="L12" s="6">
        <v>0.2021283905</v>
      </c>
      <c r="M12" s="6">
        <v>0.35845763060000002</v>
      </c>
      <c r="N12" s="7">
        <v>0.9360697375</v>
      </c>
      <c r="O12" s="8">
        <v>0.2056756793</v>
      </c>
      <c r="P12" s="7">
        <v>0.74235803310000004</v>
      </c>
      <c r="Q12" s="8">
        <v>0.8257924244</v>
      </c>
      <c r="T12" s="11">
        <f t="shared" si="2"/>
        <v>0.93606973748026512</v>
      </c>
      <c r="U12" s="11">
        <f t="shared" si="3"/>
        <v>0.93606973748040023</v>
      </c>
      <c r="V12" s="11">
        <f t="shared" si="4"/>
        <v>0.93606973792635872</v>
      </c>
      <c r="W12" s="11">
        <f t="shared" si="5"/>
        <v>0.9360697372643968</v>
      </c>
      <c r="X12" s="10"/>
      <c r="Y12" s="11">
        <f t="shared" si="6"/>
        <v>1.9734880396526933E-11</v>
      </c>
      <c r="Z12" s="11">
        <f t="shared" si="7"/>
        <v>1.9599766254430051E-11</v>
      </c>
      <c r="AA12" s="11">
        <f t="shared" si="8"/>
        <v>4.2635872610219394E-10</v>
      </c>
      <c r="AB12" s="11">
        <f t="shared" si="9"/>
        <v>2.3560320361326603E-10</v>
      </c>
      <c r="AD12" s="11" t="b">
        <f t="shared" si="10"/>
        <v>1</v>
      </c>
      <c r="AF12" s="20">
        <f t="shared" si="11"/>
        <v>1</v>
      </c>
      <c r="AG12" s="20">
        <f t="shared" si="12"/>
        <v>1</v>
      </c>
      <c r="AH12" s="20">
        <f t="shared" si="13"/>
        <v>1.0000000001</v>
      </c>
    </row>
    <row r="13" spans="1:34" x14ac:dyDescent="0.3">
      <c r="A13" t="s">
        <v>15</v>
      </c>
      <c r="B13" s="6">
        <v>0.79837194219999996</v>
      </c>
      <c r="C13" s="6">
        <v>8.6131397999999998E-2</v>
      </c>
      <c r="D13" s="6">
        <v>4.7998000499999999E-2</v>
      </c>
      <c r="E13" s="6">
        <v>6.74986593E-2</v>
      </c>
      <c r="F13" s="6">
        <v>0.90503792130000005</v>
      </c>
      <c r="G13" s="6">
        <v>4.57466833E-2</v>
      </c>
      <c r="H13" s="6">
        <v>2.50454027E-2</v>
      </c>
      <c r="I13" s="6">
        <v>2.4169992800000002E-2</v>
      </c>
      <c r="J13" s="6">
        <v>0.1398393537</v>
      </c>
      <c r="K13" s="6">
        <v>0.33545785560000002</v>
      </c>
      <c r="L13" s="6">
        <v>0.1897023548</v>
      </c>
      <c r="M13" s="6">
        <v>0.3350004359</v>
      </c>
      <c r="N13" s="7">
        <v>0.86060353010000001</v>
      </c>
      <c r="O13" s="8">
        <v>0.44846466280000002</v>
      </c>
      <c r="P13" s="7">
        <v>0.74235803310000004</v>
      </c>
      <c r="Q13" s="8">
        <v>0.8257924244</v>
      </c>
      <c r="T13" s="11">
        <f t="shared" si="2"/>
        <v>0.86060353009474178</v>
      </c>
      <c r="U13" s="11">
        <f t="shared" si="3"/>
        <v>0.86060353013179258</v>
      </c>
      <c r="V13" s="11">
        <f t="shared" si="4"/>
        <v>0.86060353050832405</v>
      </c>
      <c r="W13" s="11">
        <f t="shared" si="5"/>
        <v>0.86060353011799318</v>
      </c>
      <c r="X13" s="10"/>
      <c r="Y13" s="11">
        <f t="shared" si="6"/>
        <v>5.2582382892296664E-12</v>
      </c>
      <c r="Z13" s="11">
        <f t="shared" si="7"/>
        <v>3.1792568577770908E-11</v>
      </c>
      <c r="AA13" s="11">
        <f t="shared" si="8"/>
        <v>4.0832404124557797E-10</v>
      </c>
      <c r="AB13" s="11">
        <f t="shared" si="9"/>
        <v>1.7993162515494987E-11</v>
      </c>
      <c r="AD13" s="11" t="b">
        <f t="shared" si="10"/>
        <v>1</v>
      </c>
      <c r="AF13" s="20">
        <f t="shared" si="11"/>
        <v>1</v>
      </c>
      <c r="AG13" s="20">
        <f t="shared" si="12"/>
        <v>1.0000000001</v>
      </c>
      <c r="AH13" s="20">
        <f t="shared" si="13"/>
        <v>1</v>
      </c>
    </row>
    <row r="14" spans="1:34" x14ac:dyDescent="0.3">
      <c r="A14" t="s">
        <v>15</v>
      </c>
      <c r="B14" s="6">
        <v>0.79837194219999996</v>
      </c>
      <c r="C14" s="6">
        <v>8.6131397999999998E-2</v>
      </c>
      <c r="D14" s="6">
        <v>4.7998000499999999E-2</v>
      </c>
      <c r="E14" s="6">
        <v>6.74986593E-2</v>
      </c>
      <c r="F14" s="6">
        <v>0.94202681020000001</v>
      </c>
      <c r="G14" s="6">
        <v>3.1742351799999999E-2</v>
      </c>
      <c r="H14" s="6">
        <v>1.7086059899999999E-2</v>
      </c>
      <c r="I14" s="6">
        <v>9.1447781000000006E-3</v>
      </c>
      <c r="J14" s="6">
        <v>0.17682824259999999</v>
      </c>
      <c r="K14" s="6">
        <v>0.3214535241</v>
      </c>
      <c r="L14" s="6">
        <v>0.18174301200000001</v>
      </c>
      <c r="M14" s="6">
        <v>0.31997522119999999</v>
      </c>
      <c r="N14" s="7">
        <v>0.81226458850000005</v>
      </c>
      <c r="O14" s="8">
        <v>0.60398013019999996</v>
      </c>
      <c r="P14" s="7">
        <v>0.74235803310000004</v>
      </c>
      <c r="Q14" s="8">
        <v>0.8257924244</v>
      </c>
      <c r="T14" s="11">
        <f t="shared" si="2"/>
        <v>0.81226458845765348</v>
      </c>
      <c r="U14" s="11">
        <f t="shared" si="3"/>
        <v>0.81226458832012405</v>
      </c>
      <c r="V14" s="11">
        <f t="shared" si="4"/>
        <v>0.81226458885728403</v>
      </c>
      <c r="W14" s="11">
        <f t="shared" si="5"/>
        <v>0.81226458831374371</v>
      </c>
      <c r="X14" s="10"/>
      <c r="Y14" s="11">
        <f t="shared" si="6"/>
        <v>4.2346570694462571E-11</v>
      </c>
      <c r="Z14" s="11">
        <f t="shared" si="7"/>
        <v>1.7987600298141615E-10</v>
      </c>
      <c r="AA14" s="11">
        <f t="shared" si="8"/>
        <v>3.5728398017909058E-10</v>
      </c>
      <c r="AB14" s="11">
        <f t="shared" si="9"/>
        <v>1.8625634368163446E-10</v>
      </c>
      <c r="AD14" s="11" t="b">
        <f t="shared" si="10"/>
        <v>1</v>
      </c>
      <c r="AF14" s="20">
        <f t="shared" si="11"/>
        <v>1</v>
      </c>
      <c r="AG14" s="20">
        <f t="shared" si="12"/>
        <v>1</v>
      </c>
      <c r="AH14" s="20">
        <f t="shared" si="13"/>
        <v>0.99999999989999999</v>
      </c>
    </row>
    <row r="15" spans="1:34" x14ac:dyDescent="0.3">
      <c r="A15" t="s">
        <v>16</v>
      </c>
      <c r="B15" s="6">
        <v>0.77337859139999998</v>
      </c>
      <c r="C15" s="6">
        <v>7.2840153699999993E-2</v>
      </c>
      <c r="D15" s="6">
        <v>6.9290977200000006E-2</v>
      </c>
      <c r="E15" s="6">
        <v>8.4490277700000005E-2</v>
      </c>
      <c r="F15" s="6">
        <v>0.84702372049999997</v>
      </c>
      <c r="G15" s="6">
        <v>2.2535532800000001E-2</v>
      </c>
      <c r="H15" s="6">
        <v>4.6803928600000003E-2</v>
      </c>
      <c r="I15" s="6">
        <v>8.3636818099999996E-2</v>
      </c>
      <c r="J15" s="6">
        <v>0.2575423718</v>
      </c>
      <c r="K15" s="6">
        <v>0.425191298</v>
      </c>
      <c r="L15" s="6">
        <v>0.22679812360000001</v>
      </c>
      <c r="M15" s="6">
        <v>9.0468206600000003E-2</v>
      </c>
      <c r="N15" s="7">
        <v>0.87506792330000005</v>
      </c>
      <c r="O15" s="8">
        <v>0.3102701799</v>
      </c>
      <c r="P15" s="7">
        <v>0.48403112970000001</v>
      </c>
      <c r="Q15" s="8">
        <v>1.4721315581000001</v>
      </c>
      <c r="T15" s="11">
        <f t="shared" si="2"/>
        <v>0.87506792324742466</v>
      </c>
      <c r="U15" s="11">
        <f t="shared" si="3"/>
        <v>0.87506792340347206</v>
      </c>
      <c r="V15" s="11">
        <f t="shared" si="4"/>
        <v>0.87506792316274418</v>
      </c>
      <c r="W15" s="11">
        <f t="shared" si="5"/>
        <v>0.87506791628085445</v>
      </c>
      <c r="X15" s="10"/>
      <c r="Y15" s="11">
        <f t="shared" si="6"/>
        <v>5.2575388487241526E-11</v>
      </c>
      <c r="Z15" s="11">
        <f t="shared" si="7"/>
        <v>1.0347200873894735E-10</v>
      </c>
      <c r="AA15" s="11">
        <f t="shared" si="8"/>
        <v>1.3725587333368594E-10</v>
      </c>
      <c r="AB15" s="11">
        <f t="shared" si="9"/>
        <v>7.0191455980861406E-9</v>
      </c>
      <c r="AD15" s="11" t="b">
        <f t="shared" si="10"/>
        <v>1</v>
      </c>
      <c r="AF15" s="20">
        <f t="shared" si="11"/>
        <v>1</v>
      </c>
      <c r="AG15" s="20">
        <f t="shared" si="12"/>
        <v>1</v>
      </c>
      <c r="AH15" s="20">
        <f t="shared" si="13"/>
        <v>1</v>
      </c>
    </row>
    <row r="16" spans="1:34" x14ac:dyDescent="0.3">
      <c r="A16" t="s">
        <v>16</v>
      </c>
      <c r="B16" s="6">
        <v>0.77337859139999998</v>
      </c>
      <c r="C16" s="6">
        <v>7.2840153699999993E-2</v>
      </c>
      <c r="D16" s="6">
        <v>6.9290977200000006E-2</v>
      </c>
      <c r="E16" s="6">
        <v>8.4490277700000005E-2</v>
      </c>
      <c r="F16" s="6">
        <v>0.90710868290000002</v>
      </c>
      <c r="G16" s="6">
        <v>0</v>
      </c>
      <c r="H16" s="6">
        <v>1.45199453E-2</v>
      </c>
      <c r="I16" s="6">
        <v>7.8371371800000006E-2</v>
      </c>
      <c r="J16" s="6">
        <v>0.33583726409999998</v>
      </c>
      <c r="K16" s="6">
        <v>0.3111603194</v>
      </c>
      <c r="L16" s="6">
        <v>0.24849215559999999</v>
      </c>
      <c r="M16" s="6">
        <v>0.1045102609</v>
      </c>
      <c r="N16" s="7">
        <v>0.7659079607</v>
      </c>
      <c r="O16" s="8">
        <v>0.57666028049999996</v>
      </c>
      <c r="P16" s="7">
        <v>0.48403112970000001</v>
      </c>
      <c r="Q16" s="8">
        <v>1.4721315581000001</v>
      </c>
      <c r="T16" s="11">
        <f t="shared" si="2"/>
        <v>0.76590796056118038</v>
      </c>
      <c r="U16" s="11">
        <f t="shared" si="3"/>
        <v>0.76590796075651546</v>
      </c>
      <c r="V16" s="11">
        <f t="shared" si="4"/>
        <v>0.76590796048055287</v>
      </c>
      <c r="W16" s="11">
        <f t="shared" si="5"/>
        <v>0.76590795895759778</v>
      </c>
      <c r="X16" s="10"/>
      <c r="Y16" s="11">
        <f t="shared" si="6"/>
        <v>1.3881962246387047E-10</v>
      </c>
      <c r="Z16" s="11">
        <f t="shared" si="7"/>
        <v>5.6515458979333744E-11</v>
      </c>
      <c r="AA16" s="11">
        <f t="shared" si="8"/>
        <v>2.1944712713661829E-10</v>
      </c>
      <c r="AB16" s="11">
        <f t="shared" si="9"/>
        <v>1.7424022225043245E-9</v>
      </c>
      <c r="AD16" s="11" t="b">
        <f t="shared" si="10"/>
        <v>1</v>
      </c>
      <c r="AF16" s="20">
        <f t="shared" si="11"/>
        <v>1</v>
      </c>
      <c r="AG16" s="20">
        <f t="shared" si="12"/>
        <v>1</v>
      </c>
      <c r="AH16" s="20">
        <f t="shared" si="13"/>
        <v>0.99999999999999989</v>
      </c>
    </row>
    <row r="17" spans="1:34" x14ac:dyDescent="0.3">
      <c r="A17" t="s">
        <v>16</v>
      </c>
      <c r="B17" s="6">
        <v>0.77337859139999998</v>
      </c>
      <c r="C17" s="6">
        <v>7.2840153699999993E-2</v>
      </c>
      <c r="D17" s="6">
        <v>6.9290977200000006E-2</v>
      </c>
      <c r="E17" s="6">
        <v>8.4490277700000005E-2</v>
      </c>
      <c r="F17" s="6">
        <v>0.95842172430000006</v>
      </c>
      <c r="G17" s="6">
        <v>0</v>
      </c>
      <c r="H17" s="6">
        <v>0</v>
      </c>
      <c r="I17" s="6">
        <v>4.15782757E-2</v>
      </c>
      <c r="J17" s="6">
        <v>0.47057696040000002</v>
      </c>
      <c r="K17" s="6">
        <v>0.1920346194</v>
      </c>
      <c r="L17" s="6">
        <v>0.18267762700000001</v>
      </c>
      <c r="M17" s="6">
        <v>0.1547107932</v>
      </c>
      <c r="N17" s="7">
        <v>0.62069259200000004</v>
      </c>
      <c r="O17" s="8">
        <v>1.0229461367999999</v>
      </c>
      <c r="P17" s="7">
        <v>0.48403112970000001</v>
      </c>
      <c r="Q17" s="8">
        <v>1.4721315581000001</v>
      </c>
      <c r="T17" s="11">
        <f t="shared" si="2"/>
        <v>0.62069259200262561</v>
      </c>
      <c r="U17" s="11">
        <f t="shared" si="3"/>
        <v>0.62069259216080708</v>
      </c>
      <c r="V17" s="11">
        <f t="shared" si="4"/>
        <v>0.62069259198336313</v>
      </c>
      <c r="W17" s="11">
        <f t="shared" si="5"/>
        <v>0.62069259176522784</v>
      </c>
      <c r="X17" s="10"/>
      <c r="Y17" s="11">
        <f t="shared" si="6"/>
        <v>2.6255664309360327E-12</v>
      </c>
      <c r="Z17" s="11">
        <f t="shared" si="7"/>
        <v>1.6080703435505939E-10</v>
      </c>
      <c r="AA17" s="11">
        <f t="shared" si="8"/>
        <v>1.6636914068612896E-11</v>
      </c>
      <c r="AB17" s="11">
        <f t="shared" si="9"/>
        <v>2.347722016793341E-10</v>
      </c>
      <c r="AD17" s="11" t="b">
        <f t="shared" si="10"/>
        <v>1</v>
      </c>
      <c r="AF17" s="20">
        <f t="shared" si="11"/>
        <v>1</v>
      </c>
      <c r="AG17" s="20">
        <f t="shared" si="12"/>
        <v>1</v>
      </c>
      <c r="AH17" s="20">
        <f t="shared" si="13"/>
        <v>1</v>
      </c>
    </row>
    <row r="18" spans="1:34" x14ac:dyDescent="0.3">
      <c r="A18" t="s">
        <v>17</v>
      </c>
      <c r="B18" s="6">
        <v>0.78983554850000004</v>
      </c>
      <c r="C18" s="6">
        <v>6.9236785600000003E-2</v>
      </c>
      <c r="D18" s="6">
        <v>6.9823746800000003E-2</v>
      </c>
      <c r="E18" s="6">
        <v>7.1103919099999996E-2</v>
      </c>
      <c r="F18" s="6">
        <v>0.85135261520000005</v>
      </c>
      <c r="G18" s="6">
        <v>6.0043959899999999E-2</v>
      </c>
      <c r="H18" s="6">
        <v>2.9478962300000001E-2</v>
      </c>
      <c r="I18" s="6">
        <v>5.9124462599999997E-2</v>
      </c>
      <c r="J18" s="6">
        <v>1.20317763E-2</v>
      </c>
      <c r="K18" s="6">
        <v>0.1854681809</v>
      </c>
      <c r="L18" s="6">
        <v>0.57993138379999998</v>
      </c>
      <c r="M18" s="6">
        <v>0.222568659</v>
      </c>
      <c r="N18" s="7">
        <v>0.92670613680000002</v>
      </c>
      <c r="O18" s="8">
        <v>0.13315204059999999</v>
      </c>
      <c r="P18" s="7">
        <v>0.75562122450000002</v>
      </c>
      <c r="Q18" s="8">
        <v>0.43349993949999999</v>
      </c>
      <c r="T18" s="11">
        <f t="shared" si="2"/>
        <v>0.92670613685629055</v>
      </c>
      <c r="U18" s="11">
        <f t="shared" si="3"/>
        <v>0.92670613676763436</v>
      </c>
      <c r="V18" s="11">
        <f t="shared" si="4"/>
        <v>0.92670613676281188</v>
      </c>
      <c r="W18" s="11">
        <f t="shared" si="5"/>
        <v>0.92670613723914386</v>
      </c>
      <c r="X18" s="10"/>
      <c r="Y18" s="11">
        <f t="shared" si="6"/>
        <v>5.6290527794544687E-11</v>
      </c>
      <c r="Z18" s="11">
        <f t="shared" si="7"/>
        <v>3.2365665703082414E-11</v>
      </c>
      <c r="AA18" s="11">
        <f t="shared" si="8"/>
        <v>3.7188141455146706E-11</v>
      </c>
      <c r="AB18" s="11">
        <f t="shared" si="9"/>
        <v>4.3914383240917232E-10</v>
      </c>
      <c r="AD18" s="11" t="b">
        <f t="shared" si="10"/>
        <v>1</v>
      </c>
      <c r="AF18" s="20">
        <f t="shared" si="11"/>
        <v>1</v>
      </c>
      <c r="AG18" s="20">
        <f t="shared" si="12"/>
        <v>1</v>
      </c>
      <c r="AH18" s="20">
        <f t="shared" si="13"/>
        <v>1</v>
      </c>
    </row>
    <row r="19" spans="1:34" x14ac:dyDescent="0.3">
      <c r="A19" t="s">
        <v>17</v>
      </c>
      <c r="B19" s="6">
        <v>0.78983554850000004</v>
      </c>
      <c r="C19" s="6">
        <v>6.9236785600000003E-2</v>
      </c>
      <c r="D19" s="6">
        <v>6.9823746800000003E-2</v>
      </c>
      <c r="E19" s="6">
        <v>7.1103919099999996E-2</v>
      </c>
      <c r="F19" s="6">
        <v>0.88983930590000004</v>
      </c>
      <c r="G19" s="6">
        <v>5.4292686999999999E-2</v>
      </c>
      <c r="H19" s="6">
        <v>4.2382067999999998E-3</v>
      </c>
      <c r="I19" s="6">
        <v>5.1629800300000001E-2</v>
      </c>
      <c r="J19" s="6">
        <v>5.0518466999999997E-2</v>
      </c>
      <c r="K19" s="6">
        <v>0.17971690800000001</v>
      </c>
      <c r="L19" s="6">
        <v>0.55469062830000004</v>
      </c>
      <c r="M19" s="6">
        <v>0.21507399669999999</v>
      </c>
      <c r="N19" s="7">
        <v>0.88085157329999997</v>
      </c>
      <c r="O19" s="8">
        <v>0.21645545020000001</v>
      </c>
      <c r="P19" s="7">
        <v>0.75562122450000002</v>
      </c>
      <c r="Q19" s="8">
        <v>0.43349993949999999</v>
      </c>
      <c r="T19" s="11">
        <f t="shared" si="2"/>
        <v>0.88085157336131048</v>
      </c>
      <c r="U19" s="11">
        <f t="shared" si="3"/>
        <v>0.88085157331772468</v>
      </c>
      <c r="V19" s="11">
        <f t="shared" si="4"/>
        <v>0.88085157329078978</v>
      </c>
      <c r="W19" s="11">
        <f t="shared" si="5"/>
        <v>0.88085157363225897</v>
      </c>
      <c r="X19" s="10"/>
      <c r="Y19" s="11">
        <f t="shared" si="6"/>
        <v>6.1310512222689795E-11</v>
      </c>
      <c r="Z19" s="11">
        <f t="shared" si="7"/>
        <v>1.7724710588140624E-11</v>
      </c>
      <c r="AA19" s="11">
        <f t="shared" si="8"/>
        <v>9.2101881676853736E-12</v>
      </c>
      <c r="AB19" s="11">
        <f t="shared" si="9"/>
        <v>3.3225899809252724E-10</v>
      </c>
      <c r="AD19" s="11" t="b">
        <f t="shared" si="10"/>
        <v>1</v>
      </c>
      <c r="AF19" s="20">
        <f t="shared" si="11"/>
        <v>1</v>
      </c>
      <c r="AG19" s="20">
        <f t="shared" si="12"/>
        <v>1</v>
      </c>
      <c r="AH19" s="20">
        <f t="shared" si="13"/>
        <v>1</v>
      </c>
    </row>
    <row r="20" spans="1:34" x14ac:dyDescent="0.3">
      <c r="A20" t="s">
        <v>17</v>
      </c>
      <c r="B20" s="6">
        <v>0.78983554850000004</v>
      </c>
      <c r="C20" s="6">
        <v>6.9236785600000003E-2</v>
      </c>
      <c r="D20" s="6">
        <v>6.9823746800000003E-2</v>
      </c>
      <c r="E20" s="6">
        <v>7.1103919099999996E-2</v>
      </c>
      <c r="F20" s="6">
        <v>0.95560900360000001</v>
      </c>
      <c r="G20" s="6">
        <v>2.9173042499999999E-2</v>
      </c>
      <c r="H20" s="6">
        <v>0</v>
      </c>
      <c r="I20" s="6">
        <v>1.5217953899999999E-2</v>
      </c>
      <c r="J20" s="6">
        <v>8.8598486099999998E-2</v>
      </c>
      <c r="K20" s="6">
        <v>0.2387101281</v>
      </c>
      <c r="L20" s="6">
        <v>0.36518465979999998</v>
      </c>
      <c r="M20" s="6">
        <v>0.30750672610000002</v>
      </c>
      <c r="N20" s="7">
        <v>0.80879879560000001</v>
      </c>
      <c r="O20" s="8">
        <v>0.3482508023</v>
      </c>
      <c r="P20" s="7">
        <v>0.75562122450000002</v>
      </c>
      <c r="Q20" s="8">
        <v>0.43349993949999999</v>
      </c>
      <c r="T20" s="11">
        <f t="shared" si="2"/>
        <v>0.80879879568473634</v>
      </c>
      <c r="U20" s="11">
        <f t="shared" si="3"/>
        <v>0.80879879575837721</v>
      </c>
      <c r="V20" s="11">
        <f t="shared" si="4"/>
        <v>0.80879879555115974</v>
      </c>
      <c r="W20" s="11">
        <f t="shared" si="5"/>
        <v>0.80879879586424985</v>
      </c>
      <c r="X20" s="10"/>
      <c r="Y20" s="11">
        <f t="shared" si="6"/>
        <v>8.473632906458306E-11</v>
      </c>
      <c r="Z20" s="11">
        <f t="shared" si="7"/>
        <v>1.5837720024336477E-10</v>
      </c>
      <c r="AA20" s="11">
        <f t="shared" si="8"/>
        <v>4.8840265165495111E-11</v>
      </c>
      <c r="AB20" s="11">
        <f t="shared" si="9"/>
        <v>2.642498442284591E-10</v>
      </c>
      <c r="AD20" s="11" t="b">
        <f t="shared" si="10"/>
        <v>1</v>
      </c>
      <c r="AF20" s="20">
        <f t="shared" si="11"/>
        <v>1</v>
      </c>
      <c r="AG20" s="20">
        <f t="shared" si="12"/>
        <v>1</v>
      </c>
      <c r="AH20" s="20">
        <f t="shared" si="13"/>
        <v>1.0000000001</v>
      </c>
    </row>
    <row r="21" spans="1:34" x14ac:dyDescent="0.3">
      <c r="A21" t="s">
        <v>18</v>
      </c>
      <c r="B21" s="6">
        <v>0.78612530150000004</v>
      </c>
      <c r="C21" s="6">
        <v>7.4119917199999996E-2</v>
      </c>
      <c r="D21" s="6">
        <v>7.5126164499999995E-2</v>
      </c>
      <c r="E21" s="6">
        <v>6.4628616900000005E-2</v>
      </c>
      <c r="F21" s="6">
        <v>0.84051999619999995</v>
      </c>
      <c r="G21" s="6">
        <v>3.7038300900000001E-2</v>
      </c>
      <c r="H21" s="6">
        <v>6.0176814000000002E-2</v>
      </c>
      <c r="I21" s="6">
        <v>6.2264888900000002E-2</v>
      </c>
      <c r="J21" s="6">
        <v>2.23125817E-2</v>
      </c>
      <c r="K21" s="6">
        <v>0.59482162019999996</v>
      </c>
      <c r="L21" s="6">
        <v>0.2850456073</v>
      </c>
      <c r="M21" s="6">
        <v>9.7820190799999998E-2</v>
      </c>
      <c r="N21" s="7">
        <v>0.9335196751</v>
      </c>
      <c r="O21" s="8">
        <v>0.1191866493</v>
      </c>
      <c r="P21" s="7">
        <v>0.74713193320000004</v>
      </c>
      <c r="Q21" s="8">
        <v>0.41162388010000001</v>
      </c>
      <c r="T21" s="11">
        <f t="shared" si="2"/>
        <v>0.93351967516300227</v>
      </c>
      <c r="U21" s="11">
        <f t="shared" si="3"/>
        <v>0.93351967508362177</v>
      </c>
      <c r="V21" s="11">
        <f t="shared" si="4"/>
        <v>0.93351967482630682</v>
      </c>
      <c r="W21" s="11">
        <f t="shared" si="5"/>
        <v>0.93351967572521155</v>
      </c>
      <c r="X21" s="10"/>
      <c r="Y21" s="11">
        <f t="shared" si="6"/>
        <v>6.3002270067613608E-11</v>
      </c>
      <c r="Z21" s="11">
        <f t="shared" si="7"/>
        <v>1.6378232103875234E-11</v>
      </c>
      <c r="AA21" s="11">
        <f t="shared" si="8"/>
        <v>2.7369317923131575E-10</v>
      </c>
      <c r="AB21" s="11">
        <f t="shared" si="9"/>
        <v>6.2521154919892297E-10</v>
      </c>
      <c r="AD21" s="11" t="b">
        <f t="shared" si="10"/>
        <v>1</v>
      </c>
      <c r="AF21" s="20">
        <f t="shared" si="11"/>
        <v>1.0000000001</v>
      </c>
      <c r="AG21" s="20">
        <f t="shared" si="12"/>
        <v>1</v>
      </c>
      <c r="AH21" s="20">
        <f t="shared" si="13"/>
        <v>1</v>
      </c>
    </row>
    <row r="22" spans="1:34" x14ac:dyDescent="0.3">
      <c r="A22" t="s">
        <v>18</v>
      </c>
      <c r="B22" s="6">
        <v>0.78612530150000004</v>
      </c>
      <c r="C22" s="6">
        <v>7.4119917199999996E-2</v>
      </c>
      <c r="D22" s="6">
        <v>7.5126164499999995E-2</v>
      </c>
      <c r="E22" s="6">
        <v>6.4628616900000005E-2</v>
      </c>
      <c r="F22" s="6">
        <v>0.87986707129999997</v>
      </c>
      <c r="G22" s="6">
        <v>1.0214855199999999E-2</v>
      </c>
      <c r="H22" s="6">
        <v>4.9363016500000002E-2</v>
      </c>
      <c r="I22" s="6">
        <v>6.0555057000000002E-2</v>
      </c>
      <c r="J22" s="6">
        <v>6.1659656799999997E-2</v>
      </c>
      <c r="K22" s="6">
        <v>0.56799817450000001</v>
      </c>
      <c r="L22" s="6">
        <v>0.2742318098</v>
      </c>
      <c r="M22" s="6">
        <v>9.6110358899999998E-2</v>
      </c>
      <c r="N22" s="7">
        <v>0.88543031000000005</v>
      </c>
      <c r="O22" s="8">
        <v>0.205401786</v>
      </c>
      <c r="P22" s="7">
        <v>0.74713193320000004</v>
      </c>
      <c r="Q22" s="8">
        <v>0.41162388010000001</v>
      </c>
      <c r="T22" s="11">
        <f t="shared" si="2"/>
        <v>0.88543031004273554</v>
      </c>
      <c r="U22" s="11">
        <f t="shared" si="3"/>
        <v>0.88543030996301786</v>
      </c>
      <c r="V22" s="11">
        <f t="shared" si="4"/>
        <v>0.88543030972897574</v>
      </c>
      <c r="W22" s="11">
        <f t="shared" si="5"/>
        <v>0.88543031046517418</v>
      </c>
      <c r="X22" s="10"/>
      <c r="Y22" s="11">
        <f t="shared" si="6"/>
        <v>4.2735481819988763E-11</v>
      </c>
      <c r="Z22" s="11">
        <f t="shared" si="7"/>
        <v>3.6982195084078739E-11</v>
      </c>
      <c r="AA22" s="11">
        <f t="shared" si="8"/>
        <v>2.7102431410241934E-10</v>
      </c>
      <c r="AB22" s="11">
        <f t="shared" si="9"/>
        <v>4.6517412144453374E-10</v>
      </c>
      <c r="AD22" s="11" t="b">
        <f t="shared" si="10"/>
        <v>1</v>
      </c>
      <c r="AF22" s="20">
        <f t="shared" si="11"/>
        <v>1.0000000001</v>
      </c>
      <c r="AG22" s="20">
        <f t="shared" si="12"/>
        <v>0.99999999999999989</v>
      </c>
      <c r="AH22" s="20">
        <f t="shared" si="13"/>
        <v>0.99999999999999989</v>
      </c>
    </row>
    <row r="23" spans="1:34" x14ac:dyDescent="0.3">
      <c r="A23" t="s">
        <v>18</v>
      </c>
      <c r="B23" s="6">
        <v>0.78612530150000004</v>
      </c>
      <c r="C23" s="6">
        <v>7.4119917199999996E-2</v>
      </c>
      <c r="D23" s="6">
        <v>7.5126164499999995E-2</v>
      </c>
      <c r="E23" s="6">
        <v>6.4628616900000005E-2</v>
      </c>
      <c r="F23" s="6">
        <v>0.94402323720000003</v>
      </c>
      <c r="G23" s="6">
        <v>0</v>
      </c>
      <c r="H23" s="6">
        <v>1.13682838E-2</v>
      </c>
      <c r="I23" s="6">
        <v>4.4608478999999999E-2</v>
      </c>
      <c r="J23" s="6">
        <v>0.100807283</v>
      </c>
      <c r="K23" s="6">
        <v>0.39581959309999998</v>
      </c>
      <c r="L23" s="6">
        <v>0.3518519128</v>
      </c>
      <c r="M23" s="6">
        <v>0.1515212111</v>
      </c>
      <c r="N23" s="7">
        <v>0.81274318290000003</v>
      </c>
      <c r="O23" s="8">
        <v>0.32550697229999997</v>
      </c>
      <c r="P23" s="7">
        <v>0.74713193320000004</v>
      </c>
      <c r="Q23" s="8">
        <v>0.41162388010000001</v>
      </c>
      <c r="T23" s="11">
        <f t="shared" si="2"/>
        <v>0.81274318291355685</v>
      </c>
      <c r="U23" s="11">
        <f t="shared" si="3"/>
        <v>0.8127431827729803</v>
      </c>
      <c r="V23" s="11">
        <f t="shared" si="4"/>
        <v>0.8127431827272964</v>
      </c>
      <c r="W23" s="11">
        <f t="shared" si="5"/>
        <v>0.81274318309184801</v>
      </c>
      <c r="X23" s="10"/>
      <c r="Y23" s="11">
        <f t="shared" si="6"/>
        <v>1.3556822331395324E-11</v>
      </c>
      <c r="Z23" s="11">
        <f t="shared" si="7"/>
        <v>1.2701972806894446E-10</v>
      </c>
      <c r="AA23" s="11">
        <f t="shared" si="8"/>
        <v>1.7270362917543025E-10</v>
      </c>
      <c r="AB23" s="11">
        <f t="shared" si="9"/>
        <v>1.9184798194515906E-10</v>
      </c>
      <c r="AD23" s="11" t="b">
        <f t="shared" si="10"/>
        <v>1</v>
      </c>
      <c r="AF23" s="20">
        <f t="shared" si="11"/>
        <v>1.0000000001</v>
      </c>
      <c r="AG23" s="20">
        <f t="shared" si="12"/>
        <v>1</v>
      </c>
      <c r="AH23" s="20">
        <f t="shared" si="13"/>
        <v>1</v>
      </c>
    </row>
    <row r="24" spans="1:34" x14ac:dyDescent="0.3">
      <c r="A24" t="s">
        <v>19</v>
      </c>
      <c r="B24" s="6">
        <v>0.78557814820000005</v>
      </c>
      <c r="C24" s="6">
        <v>7.8050988200000004E-2</v>
      </c>
      <c r="D24" s="6">
        <v>8.1016078300000002E-2</v>
      </c>
      <c r="E24" s="6">
        <v>5.5354785300000001E-2</v>
      </c>
      <c r="F24" s="6">
        <v>0.86106168979999997</v>
      </c>
      <c r="G24" s="6">
        <v>3.75089324E-2</v>
      </c>
      <c r="H24" s="6">
        <v>7.4717198999999998E-2</v>
      </c>
      <c r="I24" s="6">
        <v>2.6712178699999999E-2</v>
      </c>
      <c r="J24" s="6">
        <v>0.27926656560000002</v>
      </c>
      <c r="K24" s="6">
        <v>0.34998990330000002</v>
      </c>
      <c r="L24" s="6">
        <v>0.12326628890000001</v>
      </c>
      <c r="M24" s="6">
        <v>0.24747724230000001</v>
      </c>
      <c r="N24" s="7">
        <v>0.87025752109999999</v>
      </c>
      <c r="O24" s="8">
        <v>0.4152012155</v>
      </c>
      <c r="P24" s="7">
        <v>0.56428488369999996</v>
      </c>
      <c r="Q24" s="8">
        <v>1.3001926007</v>
      </c>
      <c r="T24" s="11">
        <f t="shared" si="2"/>
        <v>0.87025752114407295</v>
      </c>
      <c r="U24" s="11">
        <f t="shared" si="3"/>
        <v>0.87025752101565801</v>
      </c>
      <c r="V24" s="11">
        <f t="shared" si="4"/>
        <v>0.87025752052254224</v>
      </c>
      <c r="W24" s="11">
        <f t="shared" si="5"/>
        <v>0.87025752112708843</v>
      </c>
      <c r="X24" s="10"/>
      <c r="Y24" s="11">
        <f t="shared" si="6"/>
        <v>4.4072967497754689E-11</v>
      </c>
      <c r="Z24" s="11">
        <f t="shared" si="7"/>
        <v>8.4341977846236205E-11</v>
      </c>
      <c r="AA24" s="11">
        <f t="shared" si="8"/>
        <v>5.7745774828532603E-10</v>
      </c>
      <c r="AB24" s="11">
        <f t="shared" si="9"/>
        <v>2.7088442600131657E-11</v>
      </c>
      <c r="AD24" s="11" t="b">
        <f t="shared" si="10"/>
        <v>1</v>
      </c>
      <c r="AF24" s="20">
        <f t="shared" si="11"/>
        <v>1</v>
      </c>
      <c r="AG24" s="20">
        <f t="shared" si="12"/>
        <v>0.99999999989999988</v>
      </c>
      <c r="AH24" s="20">
        <f t="shared" si="13"/>
        <v>1.0000000001</v>
      </c>
    </row>
    <row r="25" spans="1:34" x14ac:dyDescent="0.3">
      <c r="A25" t="s">
        <v>19</v>
      </c>
      <c r="B25" s="6">
        <v>0.78557814820000005</v>
      </c>
      <c r="C25" s="6">
        <v>7.8050988200000004E-2</v>
      </c>
      <c r="D25" s="6">
        <v>8.1016078300000002E-2</v>
      </c>
      <c r="E25" s="6">
        <v>5.5354785300000001E-2</v>
      </c>
      <c r="F25" s="6">
        <v>0.9027552808</v>
      </c>
      <c r="G25" s="6">
        <v>1.5115389999999999E-2</v>
      </c>
      <c r="H25" s="6">
        <v>7.1237991700000003E-2</v>
      </c>
      <c r="I25" s="6">
        <v>1.0891337500000001E-2</v>
      </c>
      <c r="J25" s="6">
        <v>0.32096015649999998</v>
      </c>
      <c r="K25" s="6">
        <v>0.32759636089999999</v>
      </c>
      <c r="L25" s="6">
        <v>0.1197870815</v>
      </c>
      <c r="M25" s="6">
        <v>0.23165640109999999</v>
      </c>
      <c r="N25" s="7">
        <v>0.79859382160000003</v>
      </c>
      <c r="O25" s="8">
        <v>0.6445390191</v>
      </c>
      <c r="P25" s="7">
        <v>0.56428488369999996</v>
      </c>
      <c r="Q25" s="8">
        <v>1.3001926007</v>
      </c>
      <c r="T25" s="11">
        <f t="shared" si="2"/>
        <v>0.79859382159487113</v>
      </c>
      <c r="U25" s="11">
        <f t="shared" si="3"/>
        <v>0.79859382150940439</v>
      </c>
      <c r="V25" s="11">
        <f t="shared" si="4"/>
        <v>0.79859382245308341</v>
      </c>
      <c r="W25" s="11">
        <f t="shared" si="5"/>
        <v>0.79859382152711234</v>
      </c>
      <c r="X25" s="10"/>
      <c r="Y25" s="11">
        <f t="shared" si="6"/>
        <v>5.1288973068608357E-12</v>
      </c>
      <c r="Z25" s="11">
        <f t="shared" si="7"/>
        <v>9.0595642099344786E-11</v>
      </c>
      <c r="AA25" s="11">
        <f t="shared" si="8"/>
        <v>8.5308338171330433E-10</v>
      </c>
      <c r="AB25" s="11">
        <f t="shared" si="9"/>
        <v>7.2887695878876002E-11</v>
      </c>
      <c r="AD25" s="11" t="b">
        <f t="shared" si="10"/>
        <v>1</v>
      </c>
      <c r="AF25" s="20">
        <f t="shared" si="11"/>
        <v>1</v>
      </c>
      <c r="AG25" s="20">
        <f t="shared" si="12"/>
        <v>1</v>
      </c>
      <c r="AH25" s="20">
        <f t="shared" si="13"/>
        <v>1</v>
      </c>
    </row>
    <row r="26" spans="1:34" x14ac:dyDescent="0.3">
      <c r="A26" t="s">
        <v>19</v>
      </c>
      <c r="B26" s="6">
        <v>0.78557814820000005</v>
      </c>
      <c r="C26" s="6">
        <v>7.8050988200000004E-2</v>
      </c>
      <c r="D26" s="6">
        <v>8.1016078300000002E-2</v>
      </c>
      <c r="E26" s="6">
        <v>5.5354785300000001E-2</v>
      </c>
      <c r="F26" s="6">
        <v>0.9558946639</v>
      </c>
      <c r="G26" s="6">
        <v>0</v>
      </c>
      <c r="H26" s="6">
        <v>4.4105336100000003E-2</v>
      </c>
      <c r="I26" s="6">
        <v>0</v>
      </c>
      <c r="J26" s="6">
        <v>0.41838382200000002</v>
      </c>
      <c r="K26" s="6">
        <v>0.24632521509999999</v>
      </c>
      <c r="L26" s="6">
        <v>0.1605938871</v>
      </c>
      <c r="M26" s="6">
        <v>0.17469707579999999</v>
      </c>
      <c r="N26" s="7">
        <v>0.68313845520000005</v>
      </c>
      <c r="O26" s="8">
        <v>0.97991000630000002</v>
      </c>
      <c r="P26" s="7">
        <v>0.56428488369999996</v>
      </c>
      <c r="Q26" s="8">
        <v>1.3001926007</v>
      </c>
      <c r="T26" s="11">
        <f t="shared" si="2"/>
        <v>0.68313845522080441</v>
      </c>
      <c r="U26" s="11">
        <f t="shared" si="3"/>
        <v>0.68313845511790638</v>
      </c>
      <c r="V26" s="11">
        <f t="shared" si="4"/>
        <v>0.68313845538348228</v>
      </c>
      <c r="W26" s="11">
        <f t="shared" si="5"/>
        <v>0.68313845525741768</v>
      </c>
      <c r="X26" s="10"/>
      <c r="Y26" s="11">
        <f t="shared" si="6"/>
        <v>2.0804358236148346E-11</v>
      </c>
      <c r="Z26" s="11">
        <f t="shared" si="7"/>
        <v>8.20936651990678E-11</v>
      </c>
      <c r="AA26" s="11">
        <f t="shared" si="8"/>
        <v>1.8348222941000358E-10</v>
      </c>
      <c r="AB26" s="11">
        <f t="shared" si="9"/>
        <v>5.7417626209144146E-11</v>
      </c>
      <c r="AD26" s="11" t="b">
        <f t="shared" si="10"/>
        <v>1</v>
      </c>
      <c r="AF26" s="20">
        <f t="shared" si="11"/>
        <v>1</v>
      </c>
      <c r="AG26" s="20">
        <f t="shared" si="12"/>
        <v>1</v>
      </c>
      <c r="AH26" s="20">
        <f t="shared" si="13"/>
        <v>1</v>
      </c>
    </row>
    <row r="27" spans="1:34" x14ac:dyDescent="0.3">
      <c r="A27" t="s">
        <v>20</v>
      </c>
      <c r="B27" s="6">
        <v>0.77600227960000001</v>
      </c>
      <c r="C27" s="6">
        <v>7.0279805099999995E-2</v>
      </c>
      <c r="D27" s="6">
        <v>7.2985871499999994E-2</v>
      </c>
      <c r="E27" s="6">
        <v>8.07320438E-2</v>
      </c>
      <c r="F27" s="6">
        <v>0.84498602560000002</v>
      </c>
      <c r="G27" s="6">
        <v>3.82386262E-2</v>
      </c>
      <c r="H27" s="6">
        <v>6.7825702500000001E-2</v>
      </c>
      <c r="I27" s="6">
        <v>4.8949645700000002E-2</v>
      </c>
      <c r="J27" s="6">
        <v>0.2069376899</v>
      </c>
      <c r="K27" s="6">
        <v>0.3345956967</v>
      </c>
      <c r="L27" s="6">
        <v>0.11555342740000001</v>
      </c>
      <c r="M27" s="6">
        <v>0.34291318599999998</v>
      </c>
      <c r="N27" s="7">
        <v>0.89188319739999999</v>
      </c>
      <c r="O27" s="8">
        <v>0.36481937949999999</v>
      </c>
      <c r="P27" s="7">
        <v>0.58709415880000004</v>
      </c>
      <c r="Q27" s="8">
        <v>1.2478616673</v>
      </c>
      <c r="T27" s="11">
        <f t="shared" si="2"/>
        <v>0.89188319733752108</v>
      </c>
      <c r="U27" s="11">
        <f t="shared" si="3"/>
        <v>0.89188319736748112</v>
      </c>
      <c r="V27" s="11">
        <f t="shared" si="4"/>
        <v>0.89188319764221591</v>
      </c>
      <c r="W27" s="11">
        <f t="shared" si="5"/>
        <v>0.89188319725784715</v>
      </c>
      <c r="X27" s="10"/>
      <c r="Y27" s="11">
        <f t="shared" si="6"/>
        <v>6.2478910933805309E-11</v>
      </c>
      <c r="Z27" s="11">
        <f t="shared" si="7"/>
        <v>3.2518876480480685E-11</v>
      </c>
      <c r="AA27" s="11">
        <f t="shared" si="8"/>
        <v>2.4221591399253839E-10</v>
      </c>
      <c r="AB27" s="11">
        <f t="shared" si="9"/>
        <v>1.4215284505070258E-10</v>
      </c>
      <c r="AD27" s="11" t="b">
        <f t="shared" si="10"/>
        <v>1</v>
      </c>
      <c r="AF27" s="20">
        <f t="shared" si="11"/>
        <v>1</v>
      </c>
      <c r="AG27" s="20">
        <f t="shared" si="12"/>
        <v>1</v>
      </c>
      <c r="AH27" s="20">
        <f t="shared" si="13"/>
        <v>1</v>
      </c>
    </row>
    <row r="28" spans="1:34" x14ac:dyDescent="0.3">
      <c r="A28" t="s">
        <v>20</v>
      </c>
      <c r="B28" s="6">
        <v>0.77600227960000001</v>
      </c>
      <c r="C28" s="6">
        <v>7.0279805099999995E-2</v>
      </c>
      <c r="D28" s="6">
        <v>7.2985871499999994E-2</v>
      </c>
      <c r="E28" s="6">
        <v>8.07320438E-2</v>
      </c>
      <c r="F28" s="6">
        <v>0.91418334050000005</v>
      </c>
      <c r="G28" s="6">
        <v>6.0982500000000004E-3</v>
      </c>
      <c r="H28" s="6">
        <v>6.26495579E-2</v>
      </c>
      <c r="I28" s="6">
        <v>1.7068851600000001E-2</v>
      </c>
      <c r="J28" s="6">
        <v>0.27613500479999997</v>
      </c>
      <c r="K28" s="6">
        <v>0.30245532060000002</v>
      </c>
      <c r="L28" s="6">
        <v>0.1103772829</v>
      </c>
      <c r="M28" s="6">
        <v>0.31103239179999997</v>
      </c>
      <c r="N28" s="7">
        <v>0.78343167260000002</v>
      </c>
      <c r="O28" s="8">
        <v>0.73076821479999998</v>
      </c>
      <c r="P28" s="7">
        <v>0.58709415880000004</v>
      </c>
      <c r="Q28" s="8">
        <v>1.2478616673</v>
      </c>
      <c r="T28" s="11">
        <f t="shared" si="2"/>
        <v>0.78343167254185819</v>
      </c>
      <c r="U28" s="11">
        <f t="shared" si="3"/>
        <v>0.78343167257639923</v>
      </c>
      <c r="V28" s="11">
        <f t="shared" si="4"/>
        <v>0.78343167205225073</v>
      </c>
      <c r="W28" s="11">
        <f t="shared" si="5"/>
        <v>0.7834316726602002</v>
      </c>
      <c r="X28" s="10"/>
      <c r="Y28" s="11">
        <f t="shared" si="6"/>
        <v>5.8141824688107135E-11</v>
      </c>
      <c r="Z28" s="11">
        <f t="shared" si="7"/>
        <v>2.360078799057419E-11</v>
      </c>
      <c r="AA28" s="11">
        <f t="shared" si="8"/>
        <v>5.4774929036938147E-10</v>
      </c>
      <c r="AB28" s="11">
        <f t="shared" si="9"/>
        <v>6.0200178175762176E-11</v>
      </c>
      <c r="AD28" s="11" t="b">
        <f t="shared" si="10"/>
        <v>1</v>
      </c>
      <c r="AF28" s="20">
        <f t="shared" si="11"/>
        <v>1</v>
      </c>
      <c r="AG28" s="20">
        <f t="shared" si="12"/>
        <v>1</v>
      </c>
      <c r="AH28" s="20">
        <f t="shared" si="13"/>
        <v>1.0000000001</v>
      </c>
    </row>
    <row r="29" spans="1:34" x14ac:dyDescent="0.3">
      <c r="A29" t="s">
        <v>20</v>
      </c>
      <c r="B29" s="6">
        <v>0.77600227960000001</v>
      </c>
      <c r="C29" s="6">
        <v>7.0279805099999995E-2</v>
      </c>
      <c r="D29" s="6">
        <v>7.2985871499999994E-2</v>
      </c>
      <c r="E29" s="6">
        <v>8.07320438E-2</v>
      </c>
      <c r="F29" s="6">
        <v>0.96042802660000004</v>
      </c>
      <c r="G29" s="6">
        <v>0</v>
      </c>
      <c r="H29" s="6">
        <v>3.9571973400000002E-2</v>
      </c>
      <c r="I29" s="6">
        <v>0</v>
      </c>
      <c r="J29" s="6">
        <v>0.3625891282</v>
      </c>
      <c r="K29" s="6">
        <v>0.2278206918</v>
      </c>
      <c r="L29" s="6">
        <v>0.14788726220000001</v>
      </c>
      <c r="M29" s="6">
        <v>0.2617029179</v>
      </c>
      <c r="N29" s="7">
        <v>0.69151263409999997</v>
      </c>
      <c r="O29" s="8">
        <v>0.97233287589999995</v>
      </c>
      <c r="P29" s="7">
        <v>0.58709415880000004</v>
      </c>
      <c r="Q29" s="8">
        <v>1.2478616673</v>
      </c>
      <c r="T29" s="11">
        <f t="shared" si="2"/>
        <v>0.691512634099956</v>
      </c>
      <c r="U29" s="11">
        <f t="shared" si="3"/>
        <v>0.69151263414783459</v>
      </c>
      <c r="V29" s="11">
        <f t="shared" si="4"/>
        <v>0.69151263436413424</v>
      </c>
      <c r="W29" s="11">
        <f t="shared" si="5"/>
        <v>0.6915126340668134</v>
      </c>
      <c r="X29" s="10"/>
      <c r="Y29" s="11">
        <f t="shared" si="6"/>
        <v>4.3964831775156199E-14</v>
      </c>
      <c r="Z29" s="11">
        <f t="shared" si="7"/>
        <v>4.7834625149789645E-11</v>
      </c>
      <c r="AA29" s="11">
        <f t="shared" si="8"/>
        <v>2.6413427001159562E-10</v>
      </c>
      <c r="AB29" s="11">
        <f t="shared" si="9"/>
        <v>3.3186564607490254E-11</v>
      </c>
      <c r="AD29" s="11" t="b">
        <f t="shared" si="10"/>
        <v>1</v>
      </c>
      <c r="AF29" s="20">
        <f t="shared" si="11"/>
        <v>1</v>
      </c>
      <c r="AG29" s="20">
        <f t="shared" si="12"/>
        <v>1</v>
      </c>
      <c r="AH29" s="20">
        <f t="shared" si="13"/>
        <v>1.0000000001</v>
      </c>
    </row>
    <row r="30" spans="1:34" x14ac:dyDescent="0.3">
      <c r="A30" t="s">
        <v>21</v>
      </c>
      <c r="B30" s="6">
        <v>0.81380917139999998</v>
      </c>
      <c r="C30" s="6">
        <v>4.8159567200000003E-2</v>
      </c>
      <c r="D30" s="6">
        <v>6.8637730499999994E-2</v>
      </c>
      <c r="E30" s="6">
        <v>6.93935309E-2</v>
      </c>
      <c r="F30" s="6">
        <v>0.8547304899</v>
      </c>
      <c r="G30" s="6">
        <v>4.5404453099999999E-2</v>
      </c>
      <c r="H30" s="6">
        <v>3.9557236000000003E-2</v>
      </c>
      <c r="I30" s="6">
        <v>6.0307821099999999E-2</v>
      </c>
      <c r="J30" s="6">
        <v>9.58746761E-2</v>
      </c>
      <c r="K30" s="6">
        <v>9.6496022000000001E-2</v>
      </c>
      <c r="L30" s="6">
        <v>0.57883366110000001</v>
      </c>
      <c r="M30" s="6">
        <v>0.22879564080000001</v>
      </c>
      <c r="N30" s="7">
        <v>0.94607497529999995</v>
      </c>
      <c r="O30" s="8">
        <v>9.9995145800000004E-2</v>
      </c>
      <c r="P30" s="7">
        <v>0.74056963649999996</v>
      </c>
      <c r="Q30" s="8">
        <v>0.48591554009999999</v>
      </c>
      <c r="T30" s="11">
        <f t="shared" si="2"/>
        <v>0.94607497530382623</v>
      </c>
      <c r="U30" s="11">
        <f t="shared" si="3"/>
        <v>0.94607497559152065</v>
      </c>
      <c r="V30" s="11">
        <f t="shared" si="4"/>
        <v>0.94607497538093299</v>
      </c>
      <c r="W30" s="11">
        <f t="shared" si="5"/>
        <v>0.94607497553130238</v>
      </c>
      <c r="X30" s="10"/>
      <c r="Y30" s="11">
        <f t="shared" si="6"/>
        <v>3.8262726320681395E-12</v>
      </c>
      <c r="Z30" s="11">
        <f t="shared" si="7"/>
        <v>2.9152069647153667E-10</v>
      </c>
      <c r="AA30" s="11">
        <f t="shared" si="8"/>
        <v>8.0933038049124661E-11</v>
      </c>
      <c r="AB30" s="11">
        <f t="shared" si="9"/>
        <v>2.313024216604731E-10</v>
      </c>
      <c r="AD30" s="11" t="b">
        <f t="shared" si="10"/>
        <v>1</v>
      </c>
      <c r="AF30" s="20">
        <f t="shared" si="11"/>
        <v>1</v>
      </c>
      <c r="AG30" s="20">
        <f t="shared" si="12"/>
        <v>1.0000000001</v>
      </c>
      <c r="AH30" s="20">
        <f t="shared" si="13"/>
        <v>1</v>
      </c>
    </row>
    <row r="31" spans="1:34" x14ac:dyDescent="0.3">
      <c r="A31" t="s">
        <v>21</v>
      </c>
      <c r="B31" s="6">
        <v>0.81380917139999998</v>
      </c>
      <c r="C31" s="6">
        <v>4.8159567200000003E-2</v>
      </c>
      <c r="D31" s="6">
        <v>6.8637730499999994E-2</v>
      </c>
      <c r="E31" s="6">
        <v>6.93935309E-2</v>
      </c>
      <c r="F31" s="6">
        <v>0.91805799610000005</v>
      </c>
      <c r="G31" s="6">
        <v>3.9423685200000003E-2</v>
      </c>
      <c r="H31" s="6">
        <v>0</v>
      </c>
      <c r="I31" s="6">
        <v>4.2518318700000002E-2</v>
      </c>
      <c r="J31" s="6">
        <v>0.1598815851</v>
      </c>
      <c r="K31" s="6">
        <v>0.10295763569999999</v>
      </c>
      <c r="L31" s="6">
        <v>0.49918556219999999</v>
      </c>
      <c r="M31" s="6">
        <v>0.23797521690000001</v>
      </c>
      <c r="N31" s="7">
        <v>0.86250056949999998</v>
      </c>
      <c r="O31" s="8">
        <v>0.25525629929999999</v>
      </c>
      <c r="P31" s="7">
        <v>0.74056963649999996</v>
      </c>
      <c r="Q31" s="8">
        <v>0.48591554009999999</v>
      </c>
      <c r="T31" s="11">
        <f t="shared" si="2"/>
        <v>0.86250056954093235</v>
      </c>
      <c r="U31" s="11">
        <f t="shared" si="3"/>
        <v>0.86250056967573574</v>
      </c>
      <c r="V31" s="11">
        <f t="shared" si="4"/>
        <v>0.86250056953269794</v>
      </c>
      <c r="W31" s="11">
        <f t="shared" si="5"/>
        <v>0.86250056944779652</v>
      </c>
      <c r="X31" s="10"/>
      <c r="Y31" s="11">
        <f t="shared" si="6"/>
        <v>4.0932368605695046E-11</v>
      </c>
      <c r="Z31" s="11">
        <f t="shared" si="7"/>
        <v>1.7573575927798402E-10</v>
      </c>
      <c r="AA31" s="11">
        <f t="shared" si="8"/>
        <v>3.2697955454352723E-11</v>
      </c>
      <c r="AB31" s="11">
        <f t="shared" si="9"/>
        <v>5.2203463773992098E-11</v>
      </c>
      <c r="AD31" s="11" t="b">
        <f t="shared" si="10"/>
        <v>1</v>
      </c>
      <c r="AF31" s="20">
        <f t="shared" si="11"/>
        <v>1</v>
      </c>
      <c r="AG31" s="20">
        <f t="shared" si="12"/>
        <v>1</v>
      </c>
      <c r="AH31" s="20">
        <f t="shared" si="13"/>
        <v>0.99999999989999999</v>
      </c>
    </row>
    <row r="32" spans="1:34" x14ac:dyDescent="0.3">
      <c r="A32" t="s">
        <v>21</v>
      </c>
      <c r="B32" s="6">
        <v>0.81380917139999998</v>
      </c>
      <c r="C32" s="6">
        <v>4.8159567200000003E-2</v>
      </c>
      <c r="D32" s="6">
        <v>6.8637730499999994E-2</v>
      </c>
      <c r="E32" s="6">
        <v>6.93935309E-2</v>
      </c>
      <c r="F32" s="6">
        <v>0.96495560560000004</v>
      </c>
      <c r="G32" s="6">
        <v>2.5758288099999999E-2</v>
      </c>
      <c r="H32" s="6">
        <v>0</v>
      </c>
      <c r="I32" s="6">
        <v>9.2861062999999994E-3</v>
      </c>
      <c r="J32" s="6">
        <v>0.2094243542</v>
      </c>
      <c r="K32" s="6">
        <v>0.13773490560000001</v>
      </c>
      <c r="L32" s="6">
        <v>0.34309741220000001</v>
      </c>
      <c r="M32" s="6">
        <v>0.30974332799999998</v>
      </c>
      <c r="N32" s="7">
        <v>0.79994681369999998</v>
      </c>
      <c r="O32" s="8">
        <v>0.37300266910000002</v>
      </c>
      <c r="P32" s="7">
        <v>0.74056963649999996</v>
      </c>
      <c r="Q32" s="8">
        <v>0.48591554009999999</v>
      </c>
      <c r="T32" s="11">
        <f t="shared" si="2"/>
        <v>0.79994681368914167</v>
      </c>
      <c r="U32" s="11">
        <f t="shared" si="3"/>
        <v>0.79994681389621358</v>
      </c>
      <c r="V32" s="11">
        <f t="shared" si="4"/>
        <v>0.79994681376381427</v>
      </c>
      <c r="W32" s="11">
        <f t="shared" si="5"/>
        <v>0.79994681352669905</v>
      </c>
      <c r="X32" s="10"/>
      <c r="Y32" s="11">
        <f t="shared" si="6"/>
        <v>1.0858314247741419E-11</v>
      </c>
      <c r="Z32" s="11">
        <f t="shared" si="7"/>
        <v>1.962136009225901E-10</v>
      </c>
      <c r="AA32" s="11">
        <f t="shared" si="8"/>
        <v>6.3814287187824448E-11</v>
      </c>
      <c r="AB32" s="11">
        <f t="shared" si="9"/>
        <v>1.7330092916267859E-10</v>
      </c>
      <c r="AD32" s="11" t="b">
        <f t="shared" si="10"/>
        <v>1</v>
      </c>
      <c r="AF32" s="20">
        <f t="shared" si="11"/>
        <v>1</v>
      </c>
      <c r="AG32" s="20">
        <f t="shared" si="12"/>
        <v>1</v>
      </c>
      <c r="AH32" s="20">
        <f t="shared" si="13"/>
        <v>1</v>
      </c>
    </row>
    <row r="33" spans="1:34" x14ac:dyDescent="0.3">
      <c r="A33" t="s">
        <v>22</v>
      </c>
      <c r="B33" s="6">
        <v>0.79706418239999999</v>
      </c>
      <c r="C33" s="6">
        <v>7.91842715E-2</v>
      </c>
      <c r="D33" s="6">
        <v>5.3278881700000003E-2</v>
      </c>
      <c r="E33" s="6">
        <v>7.0472664300000001E-2</v>
      </c>
      <c r="F33" s="6">
        <v>0.85071259030000002</v>
      </c>
      <c r="G33" s="6">
        <v>3.4514837700000002E-2</v>
      </c>
      <c r="H33" s="6">
        <v>5.4134625399999997E-2</v>
      </c>
      <c r="I33" s="6">
        <v>6.0637946599999999E-2</v>
      </c>
      <c r="J33" s="6">
        <v>0.1003435277</v>
      </c>
      <c r="K33" s="6">
        <v>0.65929686840000001</v>
      </c>
      <c r="L33" s="6">
        <v>4.2165517999999999E-2</v>
      </c>
      <c r="M33" s="6">
        <v>0.19819408599999999</v>
      </c>
      <c r="N33" s="7">
        <v>0.92850397149999997</v>
      </c>
      <c r="O33" s="8">
        <v>0.1144335544</v>
      </c>
      <c r="P33" s="7">
        <v>0.6465153776</v>
      </c>
      <c r="Q33" s="8">
        <v>0.75348578990000004</v>
      </c>
      <c r="T33" s="11">
        <f t="shared" si="2"/>
        <v>0.92850397148023356</v>
      </c>
      <c r="U33" s="11">
        <f t="shared" si="3"/>
        <v>0.92850397161718501</v>
      </c>
      <c r="V33" s="11">
        <f t="shared" si="4"/>
        <v>0.92850396680374059</v>
      </c>
      <c r="W33" s="11">
        <f t="shared" si="5"/>
        <v>0.92850397123023654</v>
      </c>
      <c r="X33" s="10"/>
      <c r="Y33" s="11">
        <f t="shared" si="6"/>
        <v>1.9766410730426287E-11</v>
      </c>
      <c r="Z33" s="11">
        <f t="shared" si="7"/>
        <v>1.1718503944990744E-10</v>
      </c>
      <c r="AA33" s="11">
        <f t="shared" si="8"/>
        <v>4.6962593813759668E-9</v>
      </c>
      <c r="AB33" s="11">
        <f t="shared" si="9"/>
        <v>2.6976343381335255E-10</v>
      </c>
      <c r="AD33" s="11" t="b">
        <f t="shared" si="10"/>
        <v>1</v>
      </c>
      <c r="AF33" s="20">
        <f t="shared" si="11"/>
        <v>0.99999999989999999</v>
      </c>
      <c r="AG33" s="20">
        <f t="shared" si="12"/>
        <v>1</v>
      </c>
      <c r="AH33" s="20">
        <f t="shared" si="13"/>
        <v>1.0000000001</v>
      </c>
    </row>
    <row r="34" spans="1:34" x14ac:dyDescent="0.3">
      <c r="A34" t="s">
        <v>22</v>
      </c>
      <c r="B34" s="6">
        <v>0.79706418239999999</v>
      </c>
      <c r="C34" s="6">
        <v>7.91842715E-2</v>
      </c>
      <c r="D34" s="6">
        <v>5.3278881700000003E-2</v>
      </c>
      <c r="E34" s="6">
        <v>7.0472664300000001E-2</v>
      </c>
      <c r="F34" s="6">
        <v>0.91837493859999997</v>
      </c>
      <c r="G34" s="6">
        <v>0</v>
      </c>
      <c r="H34" s="6">
        <v>5.11458843E-2</v>
      </c>
      <c r="I34" s="6">
        <v>3.0479177100000001E-2</v>
      </c>
      <c r="J34" s="6">
        <v>0.18847795480000001</v>
      </c>
      <c r="K34" s="6">
        <v>0.47643228669999999</v>
      </c>
      <c r="L34" s="6">
        <v>6.3979605499999995E-2</v>
      </c>
      <c r="M34" s="6">
        <v>0.27111015300000002</v>
      </c>
      <c r="N34" s="7">
        <v>0.83379742779999999</v>
      </c>
      <c r="O34" s="8">
        <v>0.27188634420000002</v>
      </c>
      <c r="P34" s="7">
        <v>0.6465153776</v>
      </c>
      <c r="Q34" s="8">
        <v>0.75348578990000004</v>
      </c>
      <c r="T34" s="11">
        <f t="shared" si="2"/>
        <v>0.83379742772955412</v>
      </c>
      <c r="U34" s="11">
        <f t="shared" si="3"/>
        <v>0.83379742786017186</v>
      </c>
      <c r="V34" s="11">
        <f t="shared" si="4"/>
        <v>0.83379743359237035</v>
      </c>
      <c r="W34" s="11">
        <f t="shared" si="5"/>
        <v>0.83379742757382891</v>
      </c>
      <c r="X34" s="10"/>
      <c r="Y34" s="11">
        <f t="shared" si="6"/>
        <v>7.0445871358515433E-11</v>
      </c>
      <c r="Z34" s="11">
        <f t="shared" si="7"/>
        <v>6.0171867488634234E-11</v>
      </c>
      <c r="AA34" s="11">
        <f t="shared" si="8"/>
        <v>5.7923703611351129E-9</v>
      </c>
      <c r="AB34" s="11">
        <f t="shared" si="9"/>
        <v>2.2617108186295809E-10</v>
      </c>
      <c r="AD34" s="11" t="b">
        <f t="shared" si="10"/>
        <v>1</v>
      </c>
      <c r="AF34" s="20">
        <f t="shared" si="11"/>
        <v>0.99999999989999999</v>
      </c>
      <c r="AG34" s="20">
        <f t="shared" si="12"/>
        <v>1</v>
      </c>
      <c r="AH34" s="20">
        <f t="shared" si="13"/>
        <v>1</v>
      </c>
    </row>
    <row r="35" spans="1:34" x14ac:dyDescent="0.3">
      <c r="A35" t="s">
        <v>22</v>
      </c>
      <c r="B35" s="6">
        <v>0.79706418239999999</v>
      </c>
      <c r="C35" s="6">
        <v>7.91842715E-2</v>
      </c>
      <c r="D35" s="6">
        <v>5.3278881700000003E-2</v>
      </c>
      <c r="E35" s="6">
        <v>7.0472664300000001E-2</v>
      </c>
      <c r="F35" s="6">
        <v>0.96461160820000003</v>
      </c>
      <c r="G35" s="6">
        <v>0</v>
      </c>
      <c r="H35" s="6">
        <v>3.5388391800000002E-2</v>
      </c>
      <c r="I35" s="6">
        <v>0</v>
      </c>
      <c r="J35" s="6">
        <v>0.29683174340000001</v>
      </c>
      <c r="K35" s="6">
        <v>0.31559817699999998</v>
      </c>
      <c r="L35" s="6">
        <v>0.1066930324</v>
      </c>
      <c r="M35" s="6">
        <v>0.28087704720000001</v>
      </c>
      <c r="N35" s="7">
        <v>0.749097817</v>
      </c>
      <c r="O35" s="8">
        <v>0.45612396160000002</v>
      </c>
      <c r="P35" s="7">
        <v>0.6465153776</v>
      </c>
      <c r="Q35" s="8">
        <v>0.75348578990000004</v>
      </c>
      <c r="T35" s="11">
        <f t="shared" si="2"/>
        <v>0.74909781706254275</v>
      </c>
      <c r="U35" s="11">
        <f t="shared" si="3"/>
        <v>0.74909781719049662</v>
      </c>
      <c r="V35" s="11">
        <f t="shared" si="4"/>
        <v>0.74909781818604382</v>
      </c>
      <c r="W35" s="11">
        <f t="shared" si="5"/>
        <v>0.74909781698958278</v>
      </c>
      <c r="X35" s="10"/>
      <c r="Y35" s="11">
        <f t="shared" si="6"/>
        <v>6.2542748757721256E-11</v>
      </c>
      <c r="Z35" s="11">
        <f t="shared" si="7"/>
        <v>1.9049661847958532E-10</v>
      </c>
      <c r="AA35" s="11">
        <f t="shared" si="8"/>
        <v>1.1860438187127897E-9</v>
      </c>
      <c r="AB35" s="11">
        <f t="shared" si="9"/>
        <v>1.0417222640057844E-11</v>
      </c>
      <c r="AD35" s="11" t="b">
        <f t="shared" si="10"/>
        <v>1</v>
      </c>
      <c r="AF35" s="20">
        <f t="shared" si="11"/>
        <v>0.99999999989999999</v>
      </c>
      <c r="AG35" s="20">
        <f t="shared" si="12"/>
        <v>1</v>
      </c>
      <c r="AH35" s="20">
        <f t="shared" si="13"/>
        <v>1</v>
      </c>
    </row>
    <row r="36" spans="1:34" x14ac:dyDescent="0.3">
      <c r="A36" t="s">
        <v>23</v>
      </c>
      <c r="B36" s="6">
        <v>0.81384014790000003</v>
      </c>
      <c r="C36" s="6">
        <v>6.2921423800000001E-2</v>
      </c>
      <c r="D36" s="6">
        <v>6.1975597700000003E-2</v>
      </c>
      <c r="E36" s="6">
        <v>6.1262830599999998E-2</v>
      </c>
      <c r="F36" s="6">
        <v>0.86777524610000001</v>
      </c>
      <c r="G36" s="6">
        <v>2.7948121999999999E-2</v>
      </c>
      <c r="H36" s="6">
        <v>5.0976991200000002E-2</v>
      </c>
      <c r="I36" s="6">
        <v>5.3299640699999998E-2</v>
      </c>
      <c r="J36" s="6">
        <v>0.41587765310000002</v>
      </c>
      <c r="K36" s="6">
        <v>0.32097346989999997</v>
      </c>
      <c r="L36" s="6">
        <v>0.1431292995</v>
      </c>
      <c r="M36" s="6">
        <v>0.1200195776</v>
      </c>
      <c r="N36" s="7">
        <v>0.88064752059999996</v>
      </c>
      <c r="O36" s="8">
        <v>0.40731110910000001</v>
      </c>
      <c r="P36" s="7">
        <v>0.57519411060000003</v>
      </c>
      <c r="Q36" s="8">
        <v>1.4892719560000001</v>
      </c>
      <c r="T36" s="11">
        <f t="shared" si="2"/>
        <v>0.88064752051024986</v>
      </c>
      <c r="U36" s="11">
        <f t="shared" si="3"/>
        <v>0.88064752059628915</v>
      </c>
      <c r="V36" s="11">
        <f t="shared" si="4"/>
        <v>0.88064752036167937</v>
      </c>
      <c r="W36" s="11">
        <f t="shared" si="5"/>
        <v>0.880647520516465</v>
      </c>
      <c r="X36" s="10"/>
      <c r="Y36" s="11">
        <f t="shared" si="6"/>
        <v>8.9750096243790267E-11</v>
      </c>
      <c r="Z36" s="11">
        <f t="shared" si="7"/>
        <v>3.7108094375071232E-12</v>
      </c>
      <c r="AA36" s="11">
        <f t="shared" si="8"/>
        <v>2.3832058548833857E-10</v>
      </c>
      <c r="AB36" s="11">
        <f t="shared" si="9"/>
        <v>8.3534956729636178E-11</v>
      </c>
      <c r="AD36" s="11" t="b">
        <f t="shared" si="10"/>
        <v>1</v>
      </c>
      <c r="AF36" s="20">
        <f t="shared" si="11"/>
        <v>1</v>
      </c>
      <c r="AG36" s="20">
        <f t="shared" si="12"/>
        <v>1</v>
      </c>
      <c r="AH36" s="20">
        <f t="shared" si="13"/>
        <v>1.0000000001</v>
      </c>
    </row>
    <row r="37" spans="1:34" x14ac:dyDescent="0.3">
      <c r="A37" t="s">
        <v>23</v>
      </c>
      <c r="B37" s="6">
        <v>0.81384014790000003</v>
      </c>
      <c r="C37" s="6">
        <v>6.2921423800000001E-2</v>
      </c>
      <c r="D37" s="6">
        <v>6.1975597700000003E-2</v>
      </c>
      <c r="E37" s="6">
        <v>6.1262830599999998E-2</v>
      </c>
      <c r="F37" s="6">
        <v>0.91347140329999998</v>
      </c>
      <c r="G37" s="6">
        <v>0</v>
      </c>
      <c r="H37" s="6">
        <v>4.0672724200000003E-2</v>
      </c>
      <c r="I37" s="6">
        <v>4.5855872499999999E-2</v>
      </c>
      <c r="J37" s="6">
        <v>0.46161887460000001</v>
      </c>
      <c r="K37" s="6">
        <v>0.28536431000000001</v>
      </c>
      <c r="L37" s="6">
        <v>0.137286555</v>
      </c>
      <c r="M37" s="6">
        <v>0.11573026040000001</v>
      </c>
      <c r="N37" s="7">
        <v>0.77950492910000002</v>
      </c>
      <c r="O37" s="8">
        <v>0.75474047219999996</v>
      </c>
      <c r="P37" s="7">
        <v>0.57519411060000003</v>
      </c>
      <c r="Q37" s="8">
        <v>1.4892719560000001</v>
      </c>
      <c r="T37" s="11">
        <f t="shared" si="2"/>
        <v>0.77950492899388313</v>
      </c>
      <c r="U37" s="11">
        <f t="shared" si="3"/>
        <v>0.77950492898008172</v>
      </c>
      <c r="V37" s="11">
        <f t="shared" si="4"/>
        <v>0.77950492881191102</v>
      </c>
      <c r="W37" s="11">
        <f t="shared" si="5"/>
        <v>0.77950492930185666</v>
      </c>
      <c r="X37" s="10"/>
      <c r="Y37" s="11">
        <f t="shared" si="6"/>
        <v>1.0611689305051186E-10</v>
      </c>
      <c r="Z37" s="11">
        <f t="shared" si="7"/>
        <v>1.1991829751423211E-10</v>
      </c>
      <c r="AA37" s="11">
        <f t="shared" si="8"/>
        <v>2.8808899710242031E-10</v>
      </c>
      <c r="AB37" s="11">
        <f t="shared" si="9"/>
        <v>2.0185664251215485E-10</v>
      </c>
      <c r="AD37" s="11" t="b">
        <f t="shared" si="10"/>
        <v>1</v>
      </c>
      <c r="AF37" s="20">
        <f t="shared" si="11"/>
        <v>1</v>
      </c>
      <c r="AG37" s="20">
        <f t="shared" si="12"/>
        <v>1</v>
      </c>
      <c r="AH37" s="20">
        <f t="shared" si="13"/>
        <v>1</v>
      </c>
    </row>
    <row r="38" spans="1:34" x14ac:dyDescent="0.3">
      <c r="A38" t="s">
        <v>23</v>
      </c>
      <c r="B38" s="6">
        <v>0.81384014790000003</v>
      </c>
      <c r="C38" s="6">
        <v>6.2921423800000001E-2</v>
      </c>
      <c r="D38" s="6">
        <v>6.1975597700000003E-2</v>
      </c>
      <c r="E38" s="6">
        <v>6.1262830599999998E-2</v>
      </c>
      <c r="F38" s="6">
        <v>0.95680943139999997</v>
      </c>
      <c r="G38" s="6">
        <v>0</v>
      </c>
      <c r="H38" s="6">
        <v>1.53730853E-2</v>
      </c>
      <c r="I38" s="6">
        <v>2.7817483399999999E-2</v>
      </c>
      <c r="J38" s="6">
        <v>0.50546705110000001</v>
      </c>
      <c r="K38" s="6">
        <v>0.1986378087</v>
      </c>
      <c r="L38" s="6">
        <v>0.1624934204</v>
      </c>
      <c r="M38" s="6">
        <v>0.13340171980000001</v>
      </c>
      <c r="N38" s="7">
        <v>0.68323541129999998</v>
      </c>
      <c r="O38" s="8">
        <v>1.1210626979</v>
      </c>
      <c r="P38" s="7">
        <v>0.57519411060000003</v>
      </c>
      <c r="Q38" s="8">
        <v>1.4892719560000001</v>
      </c>
      <c r="T38" s="11">
        <f t="shared" si="2"/>
        <v>0.68323541120829256</v>
      </c>
      <c r="U38" s="11">
        <f t="shared" si="3"/>
        <v>0.68323541116470232</v>
      </c>
      <c r="V38" s="11">
        <f t="shared" si="4"/>
        <v>0.68323541155392609</v>
      </c>
      <c r="W38" s="11">
        <f t="shared" si="5"/>
        <v>0.68323541145579569</v>
      </c>
      <c r="X38" s="10"/>
      <c r="Y38" s="11">
        <f t="shared" si="6"/>
        <v>9.1707419436204418E-11</v>
      </c>
      <c r="Z38" s="11">
        <f t="shared" si="7"/>
        <v>1.3529766196285209E-10</v>
      </c>
      <c r="AA38" s="11">
        <f t="shared" si="8"/>
        <v>2.5392610236707469E-10</v>
      </c>
      <c r="AB38" s="11">
        <f t="shared" si="9"/>
        <v>1.5579570966650635E-10</v>
      </c>
      <c r="AD38" s="11" t="b">
        <f t="shared" si="10"/>
        <v>1</v>
      </c>
      <c r="AF38" s="20">
        <f t="shared" si="11"/>
        <v>1</v>
      </c>
      <c r="AG38" s="20">
        <f t="shared" si="12"/>
        <v>1.0000000001</v>
      </c>
      <c r="AH38" s="20">
        <f t="shared" si="13"/>
        <v>1</v>
      </c>
    </row>
    <row r="39" spans="1:34" x14ac:dyDescent="0.3">
      <c r="A39" t="s">
        <v>24</v>
      </c>
      <c r="B39" s="6">
        <v>0.82579305410000003</v>
      </c>
      <c r="C39" s="6">
        <v>3.9081466099999997E-2</v>
      </c>
      <c r="D39" s="6">
        <v>7.0016075299999994E-2</v>
      </c>
      <c r="E39" s="6">
        <v>6.5109404499999995E-2</v>
      </c>
      <c r="F39" s="6">
        <v>0.87783419659999995</v>
      </c>
      <c r="G39" s="6">
        <v>2.63575931E-2</v>
      </c>
      <c r="H39" s="6">
        <v>5.2309950600000002E-2</v>
      </c>
      <c r="I39" s="6">
        <v>4.34982597E-2</v>
      </c>
      <c r="J39" s="6">
        <v>8.0436252200000002E-2</v>
      </c>
      <c r="K39" s="6">
        <v>0.22131853530000001</v>
      </c>
      <c r="L39" s="6">
        <v>0.32361120910000002</v>
      </c>
      <c r="M39" s="6">
        <v>0.37463400349999998</v>
      </c>
      <c r="N39" s="7">
        <v>0.93473629719999995</v>
      </c>
      <c r="O39" s="8">
        <v>0.19709048030000001</v>
      </c>
      <c r="P39" s="7">
        <v>0.77887500470000004</v>
      </c>
      <c r="Q39" s="8">
        <v>0.63180152950000001</v>
      </c>
      <c r="T39" s="11">
        <f t="shared" si="2"/>
        <v>0.93473629714563911</v>
      </c>
      <c r="U39" s="11">
        <f t="shared" si="3"/>
        <v>0.93473629714536743</v>
      </c>
      <c r="V39" s="11">
        <f t="shared" si="4"/>
        <v>0.93473629721478058</v>
      </c>
      <c r="W39" s="11">
        <f t="shared" si="5"/>
        <v>0.93473629710885942</v>
      </c>
      <c r="X39" s="10"/>
      <c r="Y39" s="11">
        <f t="shared" si="6"/>
        <v>5.4360849155443702E-11</v>
      </c>
      <c r="Z39" s="11">
        <f t="shared" si="7"/>
        <v>5.4632520729569478E-11</v>
      </c>
      <c r="AA39" s="11">
        <f t="shared" si="8"/>
        <v>1.4780621171439634E-11</v>
      </c>
      <c r="AB39" s="11">
        <f t="shared" si="9"/>
        <v>9.1140539559830813E-11</v>
      </c>
      <c r="AD39" s="11" t="b">
        <f t="shared" si="10"/>
        <v>1</v>
      </c>
      <c r="AF39" s="20">
        <f t="shared" si="11"/>
        <v>1</v>
      </c>
      <c r="AG39" s="20">
        <f t="shared" si="12"/>
        <v>0.99999999999999989</v>
      </c>
      <c r="AH39" s="20">
        <f t="shared" si="13"/>
        <v>1.0000000001</v>
      </c>
    </row>
    <row r="40" spans="1:34" x14ac:dyDescent="0.3">
      <c r="A40" t="s">
        <v>24</v>
      </c>
      <c r="B40" s="6">
        <v>0.82579305410000003</v>
      </c>
      <c r="C40" s="6">
        <v>3.9081466099999997E-2</v>
      </c>
      <c r="D40" s="6">
        <v>7.0016075299999994E-2</v>
      </c>
      <c r="E40" s="6">
        <v>6.5109404499999995E-2</v>
      </c>
      <c r="F40" s="6">
        <v>0.91597177969999999</v>
      </c>
      <c r="G40" s="6">
        <v>1.7033090599999998E-2</v>
      </c>
      <c r="H40" s="6">
        <v>3.93342785E-2</v>
      </c>
      <c r="I40" s="6">
        <v>2.7660851300000001E-2</v>
      </c>
      <c r="J40" s="6">
        <v>0.1185738353</v>
      </c>
      <c r="K40" s="6">
        <v>0.2119940327</v>
      </c>
      <c r="L40" s="6">
        <v>0.31063553700000002</v>
      </c>
      <c r="M40" s="6">
        <v>0.358796595</v>
      </c>
      <c r="N40" s="7">
        <v>0.88690875589999996</v>
      </c>
      <c r="O40" s="8">
        <v>0.3415253298</v>
      </c>
      <c r="P40" s="7">
        <v>0.77887500470000004</v>
      </c>
      <c r="Q40" s="8">
        <v>0.63180152950000001</v>
      </c>
      <c r="T40" s="11">
        <f t="shared" si="2"/>
        <v>0.88690875586862128</v>
      </c>
      <c r="U40" s="11">
        <f t="shared" si="3"/>
        <v>0.88690875586408036</v>
      </c>
      <c r="V40" s="11">
        <f t="shared" si="4"/>
        <v>0.88690875608304631</v>
      </c>
      <c r="W40" s="11">
        <f t="shared" si="5"/>
        <v>0.88690875596345364</v>
      </c>
      <c r="X40" s="10"/>
      <c r="Y40" s="11">
        <f t="shared" si="6"/>
        <v>3.1378677434190649E-11</v>
      </c>
      <c r="Z40" s="11">
        <f t="shared" si="7"/>
        <v>3.5919600627210002E-11</v>
      </c>
      <c r="AA40" s="11">
        <f t="shared" si="8"/>
        <v>1.8304635585053575E-10</v>
      </c>
      <c r="AB40" s="11">
        <f t="shared" si="9"/>
        <v>6.3453686749426197E-11</v>
      </c>
      <c r="AD40" s="11" t="b">
        <f t="shared" si="10"/>
        <v>1</v>
      </c>
      <c r="AF40" s="20">
        <f t="shared" si="11"/>
        <v>1</v>
      </c>
      <c r="AG40" s="20">
        <f t="shared" si="12"/>
        <v>1.0000000001</v>
      </c>
      <c r="AH40" s="20">
        <f t="shared" si="13"/>
        <v>1</v>
      </c>
    </row>
    <row r="41" spans="1:34" x14ac:dyDescent="0.3">
      <c r="A41" t="s">
        <v>24</v>
      </c>
      <c r="B41" s="6">
        <v>0.82579305410000003</v>
      </c>
      <c r="C41" s="6">
        <v>3.9081466099999997E-2</v>
      </c>
      <c r="D41" s="6">
        <v>7.0016075299999994E-2</v>
      </c>
      <c r="E41" s="6">
        <v>6.5109404499999995E-2</v>
      </c>
      <c r="F41" s="6">
        <v>0.96105050260000002</v>
      </c>
      <c r="G41" s="6">
        <v>6.0115042E-3</v>
      </c>
      <c r="H41" s="6">
        <v>2.3997000099999999E-2</v>
      </c>
      <c r="I41" s="6">
        <v>8.9409931000000008E-3</v>
      </c>
      <c r="J41" s="6">
        <v>0.16365255819999999</v>
      </c>
      <c r="K41" s="6">
        <v>0.2009724464</v>
      </c>
      <c r="L41" s="6">
        <v>0.29529825859999997</v>
      </c>
      <c r="M41" s="6">
        <v>0.3400767368</v>
      </c>
      <c r="N41" s="7">
        <v>0.83037647709999995</v>
      </c>
      <c r="O41" s="8">
        <v>0.51224769930000003</v>
      </c>
      <c r="P41" s="7">
        <v>0.77887500470000004</v>
      </c>
      <c r="Q41" s="8">
        <v>0.63180152950000001</v>
      </c>
      <c r="T41" s="11">
        <f t="shared" si="2"/>
        <v>0.83037647707786089</v>
      </c>
      <c r="U41" s="11">
        <f t="shared" si="3"/>
        <v>0.83037647681208226</v>
      </c>
      <c r="V41" s="11">
        <f t="shared" si="4"/>
        <v>0.83037647722522456</v>
      </c>
      <c r="W41" s="11">
        <f t="shared" si="5"/>
        <v>0.83037647711360629</v>
      </c>
      <c r="X41" s="10"/>
      <c r="Y41" s="11">
        <f t="shared" si="6"/>
        <v>2.2139068356352709E-11</v>
      </c>
      <c r="Z41" s="11">
        <f t="shared" si="7"/>
        <v>2.8791768968972065E-10</v>
      </c>
      <c r="AA41" s="11">
        <f t="shared" si="8"/>
        <v>1.2522460846042804E-10</v>
      </c>
      <c r="AB41" s="11">
        <f t="shared" si="9"/>
        <v>1.3606338278293606E-11</v>
      </c>
      <c r="AD41" s="11" t="b">
        <f t="shared" si="10"/>
        <v>1</v>
      </c>
      <c r="AF41" s="20">
        <f t="shared" si="11"/>
        <v>1</v>
      </c>
      <c r="AG41" s="20">
        <f t="shared" si="12"/>
        <v>1</v>
      </c>
      <c r="AH41" s="20">
        <f t="shared" si="13"/>
        <v>1</v>
      </c>
    </row>
    <row r="42" spans="1:34" x14ac:dyDescent="0.3">
      <c r="A42" t="s">
        <v>25</v>
      </c>
      <c r="B42" s="6">
        <v>0.80129623400000005</v>
      </c>
      <c r="C42" s="6">
        <v>6.5503530700000007E-2</v>
      </c>
      <c r="D42" s="6">
        <v>7.1685884199999994E-2</v>
      </c>
      <c r="E42" s="6">
        <v>6.1514351100000003E-2</v>
      </c>
      <c r="F42" s="6">
        <v>0.84674950930000004</v>
      </c>
      <c r="G42" s="6">
        <v>3.4754779600000001E-2</v>
      </c>
      <c r="H42" s="6">
        <v>6.1957392200000003E-2</v>
      </c>
      <c r="I42" s="6">
        <v>5.6538318800000001E-2</v>
      </c>
      <c r="J42" s="6">
        <v>0.40816545949999999</v>
      </c>
      <c r="K42" s="6">
        <v>0.33145312919999997</v>
      </c>
      <c r="L42" s="6">
        <v>0.1558287662</v>
      </c>
      <c r="M42" s="6">
        <v>0.10455264509999999</v>
      </c>
      <c r="N42" s="7">
        <v>0.89636359249999997</v>
      </c>
      <c r="O42" s="8">
        <v>0.34929890120000001</v>
      </c>
      <c r="P42" s="7">
        <v>0.55503652000000003</v>
      </c>
      <c r="Q42" s="8">
        <v>1.4423145801999999</v>
      </c>
      <c r="T42" s="11">
        <f t="shared" si="2"/>
        <v>0.89636359251840725</v>
      </c>
      <c r="U42" s="11">
        <f t="shared" si="3"/>
        <v>0.89636359237773133</v>
      </c>
      <c r="V42" s="11">
        <f t="shared" si="4"/>
        <v>0.89636359216389017</v>
      </c>
      <c r="W42" s="11">
        <f t="shared" si="5"/>
        <v>0.89636359221393469</v>
      </c>
      <c r="X42" s="10"/>
      <c r="Y42" s="11">
        <f t="shared" si="6"/>
        <v>1.840727570368017E-11</v>
      </c>
      <c r="Z42" s="11">
        <f t="shared" si="7"/>
        <v>1.2226863965736356E-10</v>
      </c>
      <c r="AA42" s="11">
        <f t="shared" si="8"/>
        <v>3.3610980665343959E-10</v>
      </c>
      <c r="AB42" s="11">
        <f t="shared" si="9"/>
        <v>2.8606528257313357E-10</v>
      </c>
      <c r="AD42" s="11" t="b">
        <f t="shared" si="10"/>
        <v>1</v>
      </c>
      <c r="AF42" s="20">
        <f t="shared" si="11"/>
        <v>1</v>
      </c>
      <c r="AG42" s="20">
        <f t="shared" si="12"/>
        <v>0.99999999989999999</v>
      </c>
      <c r="AH42" s="20">
        <f t="shared" si="13"/>
        <v>0.99999999999999989</v>
      </c>
    </row>
    <row r="43" spans="1:34" x14ac:dyDescent="0.3">
      <c r="A43" t="s">
        <v>25</v>
      </c>
      <c r="B43" s="6">
        <v>0.80129623400000005</v>
      </c>
      <c r="C43" s="6">
        <v>6.5503530700000007E-2</v>
      </c>
      <c r="D43" s="6">
        <v>7.1685884199999994E-2</v>
      </c>
      <c r="E43" s="6">
        <v>6.1514351100000003E-2</v>
      </c>
      <c r="F43" s="6">
        <v>0.90703880449999996</v>
      </c>
      <c r="G43" s="6">
        <v>0</v>
      </c>
      <c r="H43" s="6">
        <v>4.5292244000000002E-2</v>
      </c>
      <c r="I43" s="6">
        <v>4.7668951399999999E-2</v>
      </c>
      <c r="J43" s="6">
        <v>0.4653371489</v>
      </c>
      <c r="K43" s="6">
        <v>0.27361750150000003</v>
      </c>
      <c r="L43" s="6">
        <v>0.15554220769999999</v>
      </c>
      <c r="M43" s="6">
        <v>0.1055031419</v>
      </c>
      <c r="N43" s="7">
        <v>0.76060182440000002</v>
      </c>
      <c r="O43" s="8">
        <v>0.80528306019999996</v>
      </c>
      <c r="P43" s="7">
        <v>0.55503652000000003</v>
      </c>
      <c r="Q43" s="8">
        <v>1.4423145801999999</v>
      </c>
      <c r="T43" s="11">
        <f t="shared" si="2"/>
        <v>0.76060182442295576</v>
      </c>
      <c r="U43" s="11">
        <f t="shared" si="3"/>
        <v>0.76060182429521961</v>
      </c>
      <c r="V43" s="11">
        <f t="shared" si="4"/>
        <v>0.76060182412558941</v>
      </c>
      <c r="W43" s="11">
        <f t="shared" si="5"/>
        <v>0.76060182427901357</v>
      </c>
      <c r="X43" s="10"/>
      <c r="Y43" s="11">
        <f t="shared" si="6"/>
        <v>2.2955748413266974E-11</v>
      </c>
      <c r="Z43" s="11">
        <f t="shared" si="7"/>
        <v>1.047804065734681E-10</v>
      </c>
      <c r="AA43" s="11">
        <f t="shared" si="8"/>
        <v>2.7441060534982853E-10</v>
      </c>
      <c r="AB43" s="11">
        <f t="shared" si="9"/>
        <v>1.2098644308622397E-10</v>
      </c>
      <c r="AD43" s="11" t="b">
        <f t="shared" si="10"/>
        <v>1</v>
      </c>
      <c r="AF43" s="20">
        <f t="shared" si="11"/>
        <v>1</v>
      </c>
      <c r="AG43" s="20">
        <f t="shared" si="12"/>
        <v>0.99999999989999999</v>
      </c>
      <c r="AH43" s="20">
        <f t="shared" si="13"/>
        <v>0.99999999999999989</v>
      </c>
    </row>
    <row r="44" spans="1:34" x14ac:dyDescent="0.3">
      <c r="A44" t="s">
        <v>25</v>
      </c>
      <c r="B44" s="6">
        <v>0.80129623400000005</v>
      </c>
      <c r="C44" s="6">
        <v>6.5503530700000007E-2</v>
      </c>
      <c r="D44" s="6">
        <v>7.1685884199999994E-2</v>
      </c>
      <c r="E44" s="6">
        <v>6.1514351100000003E-2</v>
      </c>
      <c r="F44" s="6">
        <v>0.95019424429999999</v>
      </c>
      <c r="G44" s="6">
        <v>0</v>
      </c>
      <c r="H44" s="6">
        <v>1.7846635999999999E-2</v>
      </c>
      <c r="I44" s="6">
        <v>3.1959119699999997E-2</v>
      </c>
      <c r="J44" s="6">
        <v>0.49838165909999999</v>
      </c>
      <c r="K44" s="6">
        <v>0.19876235740000001</v>
      </c>
      <c r="L44" s="6">
        <v>0.1812151716</v>
      </c>
      <c r="M44" s="6">
        <v>0.12164081190000001</v>
      </c>
      <c r="N44" s="7">
        <v>0.67044297760000005</v>
      </c>
      <c r="O44" s="8">
        <v>1.1014549529</v>
      </c>
      <c r="P44" s="7">
        <v>0.55503652000000003</v>
      </c>
      <c r="Q44" s="8">
        <v>1.4423145801999999</v>
      </c>
      <c r="T44" s="11">
        <f t="shared" si="2"/>
        <v>0.67044297751447424</v>
      </c>
      <c r="U44" s="11">
        <f t="shared" si="3"/>
        <v>0.67044297744880743</v>
      </c>
      <c r="V44" s="11">
        <f t="shared" si="4"/>
        <v>0.67044297727058777</v>
      </c>
      <c r="W44" s="11">
        <f t="shared" si="5"/>
        <v>0.67044297810428688</v>
      </c>
      <c r="X44" s="10"/>
      <c r="Y44" s="11">
        <f t="shared" si="6"/>
        <v>8.5525808657394009E-11</v>
      </c>
      <c r="Z44" s="11">
        <f t="shared" si="7"/>
        <v>1.5119261398410799E-10</v>
      </c>
      <c r="AA44" s="11">
        <f t="shared" si="8"/>
        <v>3.2941227523508587E-10</v>
      </c>
      <c r="AB44" s="11">
        <f t="shared" si="9"/>
        <v>5.0428683451286815E-10</v>
      </c>
      <c r="AD44" s="11" t="b">
        <f t="shared" si="10"/>
        <v>1</v>
      </c>
      <c r="AF44" s="20">
        <f t="shared" si="11"/>
        <v>1</v>
      </c>
      <c r="AG44" s="20">
        <f t="shared" si="12"/>
        <v>1</v>
      </c>
      <c r="AH44" s="20">
        <f t="shared" si="13"/>
        <v>1</v>
      </c>
    </row>
    <row r="45" spans="1:34" x14ac:dyDescent="0.3">
      <c r="A45" t="s">
        <v>26</v>
      </c>
      <c r="B45" s="6">
        <v>0.80468062309999999</v>
      </c>
      <c r="C45" s="6">
        <v>5.8280150900000001E-2</v>
      </c>
      <c r="D45" s="6">
        <v>6.91981822E-2</v>
      </c>
      <c r="E45" s="6">
        <v>6.78410438E-2</v>
      </c>
      <c r="F45" s="6">
        <v>0.86824691730000003</v>
      </c>
      <c r="G45" s="6">
        <v>5.8094292300000003E-2</v>
      </c>
      <c r="H45" s="6">
        <v>3.0171877999999999E-2</v>
      </c>
      <c r="I45" s="6">
        <v>4.34869123E-2</v>
      </c>
      <c r="J45" s="6">
        <v>7.90136647E-2</v>
      </c>
      <c r="K45" s="6">
        <v>6.04018957E-2</v>
      </c>
      <c r="L45" s="6">
        <v>0.51471887500000002</v>
      </c>
      <c r="M45" s="6">
        <v>0.34586556460000001</v>
      </c>
      <c r="N45" s="7">
        <v>0.91945816530000002</v>
      </c>
      <c r="O45" s="8">
        <v>0.16622089340000001</v>
      </c>
      <c r="P45" s="7">
        <v>0.71060228270000003</v>
      </c>
      <c r="Q45" s="8">
        <v>0.57298943540000002</v>
      </c>
      <c r="T45" s="11">
        <f t="shared" si="2"/>
        <v>0.91945816526281521</v>
      </c>
      <c r="U45" s="11">
        <f t="shared" si="3"/>
        <v>0.91945817032510946</v>
      </c>
      <c r="V45" s="11">
        <f t="shared" si="4"/>
        <v>0.91945816516947676</v>
      </c>
      <c r="W45" s="11">
        <f t="shared" si="5"/>
        <v>0.91945816506967748</v>
      </c>
      <c r="X45" s="10"/>
      <c r="Y45" s="11">
        <f t="shared" si="6"/>
        <v>3.7184810786072831E-11</v>
      </c>
      <c r="Z45" s="11">
        <f t="shared" si="7"/>
        <v>5.0251094396713825E-9</v>
      </c>
      <c r="AA45" s="11">
        <f t="shared" si="8"/>
        <v>1.3052325886775407E-10</v>
      </c>
      <c r="AB45" s="11">
        <f t="shared" si="9"/>
        <v>2.3032253881893894E-10</v>
      </c>
      <c r="AD45" s="11" t="b">
        <f t="shared" si="10"/>
        <v>1</v>
      </c>
      <c r="AF45" s="20">
        <f t="shared" si="11"/>
        <v>1</v>
      </c>
      <c r="AG45" s="20">
        <f t="shared" si="12"/>
        <v>0.99999999989999999</v>
      </c>
      <c r="AH45" s="20">
        <f t="shared" si="13"/>
        <v>1</v>
      </c>
    </row>
    <row r="46" spans="1:34" x14ac:dyDescent="0.3">
      <c r="A46" t="s">
        <v>26</v>
      </c>
      <c r="B46" s="6">
        <v>0.80468062309999999</v>
      </c>
      <c r="C46" s="6">
        <v>5.8280150900000001E-2</v>
      </c>
      <c r="D46" s="6">
        <v>6.91981822E-2</v>
      </c>
      <c r="E46" s="6">
        <v>6.78410438E-2</v>
      </c>
      <c r="F46" s="6">
        <v>0.92059194020000001</v>
      </c>
      <c r="G46" s="6">
        <v>5.7569179099999999E-2</v>
      </c>
      <c r="H46" s="6">
        <v>0</v>
      </c>
      <c r="I46" s="6">
        <v>2.18388807E-2</v>
      </c>
      <c r="J46" s="6">
        <v>0.1307859717</v>
      </c>
      <c r="K46" s="6">
        <v>6.2413656599999999E-2</v>
      </c>
      <c r="L46" s="6">
        <v>0.47150820719999997</v>
      </c>
      <c r="M46" s="6">
        <v>0.33529216449999999</v>
      </c>
      <c r="N46" s="7">
        <v>0.85324076839999996</v>
      </c>
      <c r="O46" s="8">
        <v>0.30026057839999998</v>
      </c>
      <c r="P46" s="7">
        <v>0.71060228270000003</v>
      </c>
      <c r="Q46" s="8">
        <v>0.57298943540000002</v>
      </c>
      <c r="T46" s="11">
        <f t="shared" si="2"/>
        <v>0.85324076833688789</v>
      </c>
      <c r="U46" s="11">
        <f t="shared" si="3"/>
        <v>0.85324076745118504</v>
      </c>
      <c r="V46" s="11">
        <f t="shared" si="4"/>
        <v>0.85324076836132745</v>
      </c>
      <c r="W46" s="11">
        <f t="shared" si="5"/>
        <v>0.85324076831381401</v>
      </c>
      <c r="X46" s="10"/>
      <c r="Y46" s="11">
        <f t="shared" si="6"/>
        <v>6.3112071124749036E-11</v>
      </c>
      <c r="Z46" s="11">
        <f t="shared" si="7"/>
        <v>9.4881491552456509E-10</v>
      </c>
      <c r="AA46" s="11">
        <f t="shared" si="8"/>
        <v>3.867250963907054E-11</v>
      </c>
      <c r="AB46" s="11">
        <f t="shared" si="9"/>
        <v>8.6185947267836127E-11</v>
      </c>
      <c r="AD46" s="11" t="b">
        <f t="shared" si="10"/>
        <v>1</v>
      </c>
      <c r="AF46" s="20">
        <f t="shared" si="11"/>
        <v>1</v>
      </c>
      <c r="AG46" s="20">
        <f t="shared" si="12"/>
        <v>1</v>
      </c>
      <c r="AH46" s="20">
        <f t="shared" si="13"/>
        <v>1</v>
      </c>
    </row>
    <row r="47" spans="1:34" x14ac:dyDescent="0.3">
      <c r="A47" t="s">
        <v>26</v>
      </c>
      <c r="B47" s="6">
        <v>0.80468062309999999</v>
      </c>
      <c r="C47" s="6">
        <v>5.8280150900000001E-2</v>
      </c>
      <c r="D47" s="6">
        <v>6.91981822E-2</v>
      </c>
      <c r="E47" s="6">
        <v>6.78410438E-2</v>
      </c>
      <c r="F47" s="6">
        <v>0.96545909750000003</v>
      </c>
      <c r="G47" s="6">
        <v>3.4540902499999998E-2</v>
      </c>
      <c r="H47" s="6">
        <v>0</v>
      </c>
      <c r="I47" s="6">
        <v>0</v>
      </c>
      <c r="J47" s="6">
        <v>0.22974112990000001</v>
      </c>
      <c r="K47" s="6">
        <v>0.14317106369999999</v>
      </c>
      <c r="L47" s="6">
        <v>0.31664901760000003</v>
      </c>
      <c r="M47" s="6">
        <v>0.31043878870000002</v>
      </c>
      <c r="N47" s="7">
        <v>0.78146724499999998</v>
      </c>
      <c r="O47" s="8">
        <v>0.4276011415</v>
      </c>
      <c r="P47" s="7">
        <v>0.71060228270000003</v>
      </c>
      <c r="Q47" s="8">
        <v>0.57298943540000002</v>
      </c>
      <c r="T47" s="11">
        <f t="shared" si="2"/>
        <v>0.78146724494920439</v>
      </c>
      <c r="U47" s="11">
        <f t="shared" si="3"/>
        <v>0.78146724502881437</v>
      </c>
      <c r="V47" s="11">
        <f t="shared" si="4"/>
        <v>0.78146724495001241</v>
      </c>
      <c r="W47" s="11">
        <f t="shared" si="5"/>
        <v>0.78146724485012786</v>
      </c>
      <c r="X47" s="10"/>
      <c r="Y47" s="11">
        <f t="shared" si="6"/>
        <v>5.0795589956464937E-11</v>
      </c>
      <c r="Z47" s="11">
        <f t="shared" si="7"/>
        <v>2.8814395314213925E-11</v>
      </c>
      <c r="AA47" s="11">
        <f t="shared" si="8"/>
        <v>4.9987569639142748E-11</v>
      </c>
      <c r="AB47" s="11">
        <f t="shared" si="9"/>
        <v>1.4987211471861883E-10</v>
      </c>
      <c r="AD47" s="11" t="b">
        <f t="shared" si="10"/>
        <v>1</v>
      </c>
      <c r="AF47" s="20">
        <f t="shared" si="11"/>
        <v>1</v>
      </c>
      <c r="AG47" s="20">
        <f t="shared" si="12"/>
        <v>1</v>
      </c>
      <c r="AH47" s="20">
        <f t="shared" si="13"/>
        <v>0.99999999989999999</v>
      </c>
    </row>
    <row r="48" spans="1:34" x14ac:dyDescent="0.3">
      <c r="A48" t="s">
        <v>27</v>
      </c>
      <c r="B48" s="6">
        <v>0.79909189390000002</v>
      </c>
      <c r="C48" s="6">
        <v>6.7356576400000007E-2</v>
      </c>
      <c r="D48" s="6">
        <v>5.4445282800000001E-2</v>
      </c>
      <c r="E48" s="6">
        <v>7.9106246899999996E-2</v>
      </c>
      <c r="F48" s="6">
        <v>0.86462815689999994</v>
      </c>
      <c r="G48" s="6">
        <v>6.7317437800000005E-2</v>
      </c>
      <c r="H48" s="6">
        <v>0</v>
      </c>
      <c r="I48" s="6">
        <v>6.8054405299999995E-2</v>
      </c>
      <c r="J48" s="6">
        <v>0.30545815570000001</v>
      </c>
      <c r="K48" s="6">
        <v>6.7651377400000004E-2</v>
      </c>
      <c r="L48" s="6">
        <v>0.4645392861</v>
      </c>
      <c r="M48" s="6">
        <v>0.16235118079999999</v>
      </c>
      <c r="N48" s="7">
        <v>0.88279724780000002</v>
      </c>
      <c r="O48" s="8">
        <v>0.2355757027</v>
      </c>
      <c r="P48" s="7">
        <v>0.50988621710000004</v>
      </c>
      <c r="Q48" s="8">
        <v>1.4356317606</v>
      </c>
      <c r="T48" s="11">
        <f t="shared" si="2"/>
        <v>0.88279724795794368</v>
      </c>
      <c r="U48" s="11">
        <f t="shared" si="3"/>
        <v>0.88279736814680798</v>
      </c>
      <c r="V48" s="11">
        <f t="shared" si="4"/>
        <v>0.8827972478773739</v>
      </c>
      <c r="W48" s="11">
        <f t="shared" si="5"/>
        <v>0.88279724792922531</v>
      </c>
      <c r="X48" s="10"/>
      <c r="Y48" s="11">
        <f t="shared" si="6"/>
        <v>1.5794365815224864E-10</v>
      </c>
      <c r="Z48" s="11">
        <f t="shared" si="7"/>
        <v>1.2034680796357833E-7</v>
      </c>
      <c r="AA48" s="11">
        <f t="shared" si="8"/>
        <v>7.7373885076781335E-11</v>
      </c>
      <c r="AB48" s="11">
        <f t="shared" si="9"/>
        <v>1.292252971296648E-10</v>
      </c>
      <c r="AD48" s="11" t="b">
        <f t="shared" si="10"/>
        <v>1</v>
      </c>
      <c r="AF48" s="20">
        <f t="shared" si="11"/>
        <v>1</v>
      </c>
      <c r="AG48" s="20">
        <f t="shared" si="12"/>
        <v>0.99999999999999989</v>
      </c>
      <c r="AH48" s="20">
        <f t="shared" si="13"/>
        <v>1</v>
      </c>
    </row>
    <row r="49" spans="1:34" x14ac:dyDescent="0.3">
      <c r="A49" t="s">
        <v>27</v>
      </c>
      <c r="B49" s="6">
        <v>0.79909189390000002</v>
      </c>
      <c r="C49" s="6">
        <v>6.7356576400000007E-2</v>
      </c>
      <c r="D49" s="6">
        <v>5.4445282800000001E-2</v>
      </c>
      <c r="E49" s="6">
        <v>7.9106246899999996E-2</v>
      </c>
      <c r="F49" s="6">
        <v>0.92599684199999999</v>
      </c>
      <c r="G49" s="6">
        <v>5.3843170099999997E-2</v>
      </c>
      <c r="H49" s="6">
        <v>0</v>
      </c>
      <c r="I49" s="6">
        <v>2.0159987899999999E-2</v>
      </c>
      <c r="J49" s="6">
        <v>0.44494930469999999</v>
      </c>
      <c r="K49" s="6">
        <v>0.1050672629</v>
      </c>
      <c r="L49" s="6">
        <v>0.20638099300000001</v>
      </c>
      <c r="M49" s="6">
        <v>0.2436024393</v>
      </c>
      <c r="N49" s="7">
        <v>0.73619042130000001</v>
      </c>
      <c r="O49" s="8">
        <v>0.68434536680000002</v>
      </c>
      <c r="P49" s="7">
        <v>0.50988621710000004</v>
      </c>
      <c r="Q49" s="8">
        <v>1.4356317606</v>
      </c>
      <c r="T49" s="11">
        <f t="shared" si="2"/>
        <v>0.73619042140349411</v>
      </c>
      <c r="U49" s="11">
        <f t="shared" si="3"/>
        <v>0.73619042209762653</v>
      </c>
      <c r="V49" s="11">
        <f t="shared" si="4"/>
        <v>0.73619042137276669</v>
      </c>
      <c r="W49" s="11">
        <f t="shared" si="5"/>
        <v>0.73619042115467959</v>
      </c>
      <c r="X49" s="10"/>
      <c r="Y49" s="11">
        <f t="shared" si="6"/>
        <v>1.0349410217713739E-10</v>
      </c>
      <c r="Z49" s="11">
        <f t="shared" si="7"/>
        <v>7.9762652038795068E-10</v>
      </c>
      <c r="AA49" s="11">
        <f t="shared" si="8"/>
        <v>7.276668156919186E-11</v>
      </c>
      <c r="AB49" s="11">
        <f t="shared" si="9"/>
        <v>1.4532042236226062E-10</v>
      </c>
      <c r="AD49" s="11" t="b">
        <f t="shared" si="10"/>
        <v>1</v>
      </c>
      <c r="AF49" s="20">
        <f t="shared" si="11"/>
        <v>1</v>
      </c>
      <c r="AG49" s="20">
        <f t="shared" si="12"/>
        <v>0.99999999999999989</v>
      </c>
      <c r="AH49" s="20">
        <f t="shared" si="13"/>
        <v>0.99999999989999999</v>
      </c>
    </row>
    <row r="50" spans="1:34" x14ac:dyDescent="0.3">
      <c r="A50" t="s">
        <v>27</v>
      </c>
      <c r="B50" s="6">
        <v>0.79909189390000002</v>
      </c>
      <c r="C50" s="6">
        <v>6.7356576400000007E-2</v>
      </c>
      <c r="D50" s="6">
        <v>5.4445282800000001E-2</v>
      </c>
      <c r="E50" s="6">
        <v>7.9106246899999996E-2</v>
      </c>
      <c r="F50" s="6">
        <v>0.95892476849999997</v>
      </c>
      <c r="G50" s="6">
        <v>4.1075231500000003E-2</v>
      </c>
      <c r="H50" s="6">
        <v>0</v>
      </c>
      <c r="I50" s="6">
        <v>0</v>
      </c>
      <c r="J50" s="6">
        <v>0.50195504489999998</v>
      </c>
      <c r="K50" s="6">
        <v>0.1162148357</v>
      </c>
      <c r="L50" s="6">
        <v>0.15566163029999999</v>
      </c>
      <c r="M50" s="6">
        <v>0.22616848919999999</v>
      </c>
      <c r="N50" s="7">
        <v>0.65023311959999996</v>
      </c>
      <c r="O50" s="8">
        <v>0.95609087110000002</v>
      </c>
      <c r="P50" s="7">
        <v>0.50988621710000004</v>
      </c>
      <c r="Q50" s="8">
        <v>1.4356317606</v>
      </c>
      <c r="T50" s="11">
        <f t="shared" si="2"/>
        <v>0.65023311973309916</v>
      </c>
      <c r="U50" s="11">
        <f t="shared" si="3"/>
        <v>0.65023312033895431</v>
      </c>
      <c r="V50" s="11">
        <f t="shared" si="4"/>
        <v>0.65023311977993592</v>
      </c>
      <c r="W50" s="11">
        <f t="shared" si="5"/>
        <v>0.65023311965422981</v>
      </c>
      <c r="X50" s="10"/>
      <c r="Y50" s="11">
        <f t="shared" si="6"/>
        <v>1.3309919832948935E-10</v>
      </c>
      <c r="Z50" s="11">
        <f t="shared" si="7"/>
        <v>7.389543421609801E-10</v>
      </c>
      <c r="AA50" s="11">
        <f t="shared" si="8"/>
        <v>1.7993595502474591E-10</v>
      </c>
      <c r="AB50" s="11">
        <f t="shared" si="9"/>
        <v>5.4229842838537934E-11</v>
      </c>
      <c r="AD50" s="11" t="b">
        <f t="shared" si="10"/>
        <v>1</v>
      </c>
      <c r="AF50" s="20">
        <f t="shared" si="11"/>
        <v>1</v>
      </c>
      <c r="AG50" s="20">
        <f t="shared" si="12"/>
        <v>1</v>
      </c>
      <c r="AH50" s="20">
        <f t="shared" si="13"/>
        <v>1.0000000001</v>
      </c>
    </row>
    <row r="51" spans="1:34" x14ac:dyDescent="0.3">
      <c r="A51" t="s">
        <v>28</v>
      </c>
      <c r="B51" s="6">
        <v>0.79592433529999995</v>
      </c>
      <c r="C51" s="6">
        <v>7.4763631999999997E-2</v>
      </c>
      <c r="D51" s="6">
        <v>6.1867325500000001E-2</v>
      </c>
      <c r="E51" s="6">
        <v>6.7444707100000001E-2</v>
      </c>
      <c r="F51" s="6">
        <v>0.84790288270000003</v>
      </c>
      <c r="G51" s="6">
        <v>5.7509751800000002E-2</v>
      </c>
      <c r="H51" s="6">
        <v>4.6157164100000002E-2</v>
      </c>
      <c r="I51" s="6">
        <v>4.8430201399999998E-2</v>
      </c>
      <c r="J51" s="6">
        <v>0.19175392320000001</v>
      </c>
      <c r="K51" s="6">
        <v>0.27531336820000002</v>
      </c>
      <c r="L51" s="6">
        <v>0.24447371109999999</v>
      </c>
      <c r="M51" s="6">
        <v>0.28845899749999998</v>
      </c>
      <c r="N51" s="7">
        <v>0.92078239770000003</v>
      </c>
      <c r="O51" s="8">
        <v>0.3300337445</v>
      </c>
      <c r="P51" s="7">
        <v>0.69026434489999999</v>
      </c>
      <c r="Q51" s="8">
        <v>1.2365540343999999</v>
      </c>
      <c r="T51" s="11">
        <f t="shared" si="2"/>
        <v>0.92078239758299874</v>
      </c>
      <c r="U51" s="11">
        <f t="shared" si="3"/>
        <v>0.92078239799144135</v>
      </c>
      <c r="V51" s="11">
        <f t="shared" si="4"/>
        <v>0.9207823974466437</v>
      </c>
      <c r="W51" s="11">
        <f t="shared" si="5"/>
        <v>0.9207823977416516</v>
      </c>
      <c r="X51" s="10"/>
      <c r="Y51" s="11">
        <f t="shared" si="6"/>
        <v>1.1700129753933197E-10</v>
      </c>
      <c r="Z51" s="11">
        <f t="shared" si="7"/>
        <v>2.9144131552527597E-10</v>
      </c>
      <c r="AA51" s="11">
        <f t="shared" si="8"/>
        <v>2.5335633591083706E-10</v>
      </c>
      <c r="AB51" s="11">
        <f t="shared" si="9"/>
        <v>4.1651571081047223E-11</v>
      </c>
      <c r="AD51" s="11" t="b">
        <f t="shared" si="10"/>
        <v>1</v>
      </c>
      <c r="AF51" s="20">
        <f t="shared" si="11"/>
        <v>0.99999999989999999</v>
      </c>
      <c r="AG51" s="20">
        <f t="shared" si="12"/>
        <v>1</v>
      </c>
      <c r="AH51" s="20">
        <f t="shared" si="13"/>
        <v>1</v>
      </c>
    </row>
    <row r="52" spans="1:34" x14ac:dyDescent="0.3">
      <c r="A52" t="s">
        <v>28</v>
      </c>
      <c r="B52" s="6">
        <v>0.79592433529999995</v>
      </c>
      <c r="C52" s="6">
        <v>7.4763631999999997E-2</v>
      </c>
      <c r="D52" s="6">
        <v>6.1867325500000001E-2</v>
      </c>
      <c r="E52" s="6">
        <v>6.7444707100000001E-2</v>
      </c>
      <c r="F52" s="6">
        <v>0.89625610479999995</v>
      </c>
      <c r="G52" s="6">
        <v>4.1459270399999998E-2</v>
      </c>
      <c r="H52" s="6">
        <v>3.1542732599999998E-2</v>
      </c>
      <c r="I52" s="6">
        <v>3.0741892199999999E-2</v>
      </c>
      <c r="J52" s="6">
        <v>0.24010714529999999</v>
      </c>
      <c r="K52" s="6">
        <v>0.25926288679999998</v>
      </c>
      <c r="L52" s="6">
        <v>0.22985927959999999</v>
      </c>
      <c r="M52" s="6">
        <v>0.27077068830000001</v>
      </c>
      <c r="N52" s="7">
        <v>0.84708995109999996</v>
      </c>
      <c r="O52" s="8">
        <v>0.63704876830000001</v>
      </c>
      <c r="P52" s="7">
        <v>0.69026434489999999</v>
      </c>
      <c r="Q52" s="8">
        <v>1.2365540343999999</v>
      </c>
      <c r="T52" s="11">
        <f t="shared" si="2"/>
        <v>0.84708995107383078</v>
      </c>
      <c r="U52" s="11">
        <f t="shared" si="3"/>
        <v>0.84708995125757702</v>
      </c>
      <c r="V52" s="11">
        <f t="shared" si="4"/>
        <v>0.8470899510972224</v>
      </c>
      <c r="W52" s="11">
        <f t="shared" si="5"/>
        <v>0.84708995130438858</v>
      </c>
      <c r="X52" s="10"/>
      <c r="Y52" s="11">
        <f t="shared" si="6"/>
        <v>2.6169177935742027E-11</v>
      </c>
      <c r="Z52" s="11">
        <f t="shared" si="7"/>
        <v>1.5757706250951742E-10</v>
      </c>
      <c r="AA52" s="11">
        <f t="shared" si="8"/>
        <v>2.7775559630072166E-12</v>
      </c>
      <c r="AB52" s="11">
        <f t="shared" si="9"/>
        <v>2.0438861714211498E-10</v>
      </c>
      <c r="AD52" s="11" t="b">
        <f t="shared" si="10"/>
        <v>1</v>
      </c>
      <c r="AF52" s="20">
        <f t="shared" si="11"/>
        <v>0.99999999989999999</v>
      </c>
      <c r="AG52" s="20">
        <f t="shared" si="12"/>
        <v>0.99999999999999989</v>
      </c>
      <c r="AH52" s="20">
        <f t="shared" si="13"/>
        <v>1</v>
      </c>
    </row>
    <row r="53" spans="1:34" x14ac:dyDescent="0.3">
      <c r="A53" t="s">
        <v>28</v>
      </c>
      <c r="B53" s="6">
        <v>0.79592433529999995</v>
      </c>
      <c r="C53" s="6">
        <v>7.4763631999999997E-2</v>
      </c>
      <c r="D53" s="6">
        <v>6.1867325500000001E-2</v>
      </c>
      <c r="E53" s="6">
        <v>6.7444707100000001E-2</v>
      </c>
      <c r="F53" s="6">
        <v>0.95583266950000001</v>
      </c>
      <c r="G53" s="6">
        <v>2.1683286499999999E-2</v>
      </c>
      <c r="H53" s="6">
        <v>1.35361223E-2</v>
      </c>
      <c r="I53" s="6">
        <v>8.9479217E-3</v>
      </c>
      <c r="J53" s="6">
        <v>0.29968370999999999</v>
      </c>
      <c r="K53" s="6">
        <v>0.239486903</v>
      </c>
      <c r="L53" s="6">
        <v>0.21185266929999999</v>
      </c>
      <c r="M53" s="6">
        <v>0.24897671769999999</v>
      </c>
      <c r="N53" s="7">
        <v>0.75629263469999997</v>
      </c>
      <c r="O53" s="8">
        <v>1.0153255328999999</v>
      </c>
      <c r="P53" s="7">
        <v>0.69026434489999999</v>
      </c>
      <c r="Q53" s="8">
        <v>1.2365540343999999</v>
      </c>
      <c r="T53" s="11">
        <f t="shared" si="2"/>
        <v>0.75629263464525831</v>
      </c>
      <c r="U53" s="11">
        <f t="shared" si="3"/>
        <v>0.75629263483786102</v>
      </c>
      <c r="V53" s="11">
        <f t="shared" si="4"/>
        <v>0.75629263452232265</v>
      </c>
      <c r="W53" s="11">
        <f t="shared" si="5"/>
        <v>0.7562926349886786</v>
      </c>
      <c r="X53" s="10"/>
      <c r="Y53" s="11">
        <f t="shared" si="6"/>
        <v>5.4741655652890131E-11</v>
      </c>
      <c r="Z53" s="11">
        <f t="shared" si="7"/>
        <v>1.3786105590440911E-10</v>
      </c>
      <c r="AA53" s="11">
        <f t="shared" si="8"/>
        <v>1.7767731730344849E-10</v>
      </c>
      <c r="AB53" s="11">
        <f t="shared" si="9"/>
        <v>2.8867863655079873E-10</v>
      </c>
      <c r="AD53" s="11" t="b">
        <f t="shared" si="10"/>
        <v>1</v>
      </c>
      <c r="AF53" s="20">
        <f t="shared" si="11"/>
        <v>0.99999999989999999</v>
      </c>
      <c r="AG53" s="20">
        <f t="shared" si="12"/>
        <v>1</v>
      </c>
      <c r="AH53" s="20">
        <f t="shared" si="13"/>
        <v>1</v>
      </c>
    </row>
    <row r="54" spans="1:34" x14ac:dyDescent="0.3">
      <c r="A54" t="s">
        <v>29</v>
      </c>
      <c r="B54" s="6">
        <v>0.77193335169999999</v>
      </c>
      <c r="C54" s="6">
        <v>7.0469200900000001E-2</v>
      </c>
      <c r="D54" s="6">
        <v>6.5751446399999997E-2</v>
      </c>
      <c r="E54" s="6">
        <v>9.1846000900000002E-2</v>
      </c>
      <c r="F54" s="6">
        <v>0.82724905790000003</v>
      </c>
      <c r="G54" s="6">
        <v>7.1754248899999998E-2</v>
      </c>
      <c r="H54" s="6">
        <v>5.7570338499999998E-2</v>
      </c>
      <c r="I54" s="6">
        <v>4.3426354700000003E-2</v>
      </c>
      <c r="J54" s="6">
        <v>0.35378215639999999</v>
      </c>
      <c r="K54" s="6">
        <v>6.0755063900000003E-2</v>
      </c>
      <c r="L54" s="6">
        <v>0.1275953655</v>
      </c>
      <c r="M54" s="6">
        <v>0.45786741419999999</v>
      </c>
      <c r="N54" s="7">
        <v>0.8831688003</v>
      </c>
      <c r="O54" s="8">
        <v>0.2819006396</v>
      </c>
      <c r="P54" s="7">
        <v>0.4286497125</v>
      </c>
      <c r="Q54" s="8">
        <v>1.6289132359</v>
      </c>
      <c r="T54" s="11">
        <f t="shared" si="2"/>
        <v>0.88316880013206156</v>
      </c>
      <c r="U54" s="11">
        <f t="shared" si="3"/>
        <v>0.88316879841551921</v>
      </c>
      <c r="V54" s="11">
        <f t="shared" si="4"/>
        <v>0.88316880049185842</v>
      </c>
      <c r="W54" s="11">
        <f t="shared" si="5"/>
        <v>0.88316880026700151</v>
      </c>
      <c r="X54" s="10"/>
      <c r="Y54" s="11">
        <f t="shared" si="6"/>
        <v>1.6793844093143662E-10</v>
      </c>
      <c r="Z54" s="11">
        <f t="shared" si="7"/>
        <v>1.8844807936346797E-9</v>
      </c>
      <c r="AA54" s="11">
        <f t="shared" si="8"/>
        <v>1.9185841804159054E-10</v>
      </c>
      <c r="AB54" s="11">
        <f t="shared" si="9"/>
        <v>3.2998492827118753E-11</v>
      </c>
      <c r="AD54" s="11" t="b">
        <f t="shared" si="10"/>
        <v>1</v>
      </c>
      <c r="AF54" s="20">
        <f t="shared" si="11"/>
        <v>0.99999999989999999</v>
      </c>
      <c r="AG54" s="20">
        <f t="shared" si="12"/>
        <v>1</v>
      </c>
      <c r="AH54" s="20">
        <f t="shared" si="13"/>
        <v>1</v>
      </c>
    </row>
    <row r="55" spans="1:34" x14ac:dyDescent="0.3">
      <c r="A55" t="s">
        <v>29</v>
      </c>
      <c r="B55" s="6">
        <v>0.77193335169999999</v>
      </c>
      <c r="C55" s="6">
        <v>7.0469200900000001E-2</v>
      </c>
      <c r="D55" s="6">
        <v>6.5751446399999997E-2</v>
      </c>
      <c r="E55" s="6">
        <v>9.1846000900000002E-2</v>
      </c>
      <c r="F55" s="6">
        <v>0.90611043700000005</v>
      </c>
      <c r="G55" s="6">
        <v>6.7741768800000005E-2</v>
      </c>
      <c r="H55" s="6">
        <v>2.6147794200000001E-2</v>
      </c>
      <c r="I55" s="6">
        <v>0</v>
      </c>
      <c r="J55" s="6">
        <v>0.44433860260000002</v>
      </c>
      <c r="K55" s="6">
        <v>7.7128254899999998E-2</v>
      </c>
      <c r="L55" s="6">
        <v>0.1624441751</v>
      </c>
      <c r="M55" s="6">
        <v>0.31608896739999998</v>
      </c>
      <c r="N55" s="7">
        <v>0.70942990610000001</v>
      </c>
      <c r="O55" s="8">
        <v>0.73215182069999996</v>
      </c>
      <c r="P55" s="7">
        <v>0.4286497125</v>
      </c>
      <c r="Q55" s="8">
        <v>1.6289132359</v>
      </c>
      <c r="T55" s="11">
        <f t="shared" si="2"/>
        <v>0.70942990606098333</v>
      </c>
      <c r="U55" s="11">
        <f t="shared" si="3"/>
        <v>0.70942991115706244</v>
      </c>
      <c r="V55" s="11">
        <f t="shared" si="4"/>
        <v>0.70942990607317002</v>
      </c>
      <c r="W55" s="11">
        <f t="shared" si="5"/>
        <v>0.70942990622076352</v>
      </c>
      <c r="X55" s="10"/>
      <c r="Y55" s="11">
        <f t="shared" si="6"/>
        <v>3.9016678776704339E-11</v>
      </c>
      <c r="Z55" s="11">
        <f t="shared" si="7"/>
        <v>5.0570624354762117E-9</v>
      </c>
      <c r="AA55" s="11">
        <f t="shared" si="8"/>
        <v>2.6829982679998921E-11</v>
      </c>
      <c r="AB55" s="11">
        <f t="shared" si="9"/>
        <v>1.2076351030287924E-10</v>
      </c>
      <c r="AD55" s="11" t="b">
        <f t="shared" si="10"/>
        <v>1</v>
      </c>
      <c r="AF55" s="20">
        <f t="shared" si="11"/>
        <v>0.99999999989999999</v>
      </c>
      <c r="AG55" s="20">
        <f t="shared" si="12"/>
        <v>1</v>
      </c>
      <c r="AH55" s="20">
        <f t="shared" si="13"/>
        <v>1</v>
      </c>
    </row>
    <row r="56" spans="1:34" x14ac:dyDescent="0.3">
      <c r="A56" t="s">
        <v>29</v>
      </c>
      <c r="B56" s="6">
        <v>0.77193335169999999</v>
      </c>
      <c r="C56" s="6">
        <v>7.0469200900000001E-2</v>
      </c>
      <c r="D56" s="6">
        <v>6.5751446399999997E-2</v>
      </c>
      <c r="E56" s="6">
        <v>9.1846000900000002E-2</v>
      </c>
      <c r="F56" s="6">
        <v>0.95798110960000005</v>
      </c>
      <c r="G56" s="6">
        <v>4.2018890400000002E-2</v>
      </c>
      <c r="H56" s="6">
        <v>0</v>
      </c>
      <c r="I56" s="6">
        <v>0</v>
      </c>
      <c r="J56" s="6">
        <v>0.52741079150000003</v>
      </c>
      <c r="K56" s="6">
        <v>0.1078614428</v>
      </c>
      <c r="L56" s="6">
        <v>0.1521685696</v>
      </c>
      <c r="M56" s="6">
        <v>0.21255919609999999</v>
      </c>
      <c r="N56" s="7">
        <v>0.56790389389999996</v>
      </c>
      <c r="O56" s="8">
        <v>1.1674130191000001</v>
      </c>
      <c r="P56" s="7">
        <v>0.4286497125</v>
      </c>
      <c r="Q56" s="8">
        <v>1.6289132359</v>
      </c>
      <c r="T56" s="11">
        <f t="shared" si="2"/>
        <v>0.56790389379141915</v>
      </c>
      <c r="U56" s="11">
        <f t="shared" si="3"/>
        <v>0.56790389401732844</v>
      </c>
      <c r="V56" s="11">
        <f t="shared" si="4"/>
        <v>0.56790389386692375</v>
      </c>
      <c r="W56" s="11">
        <f t="shared" si="5"/>
        <v>0.5679038941378457</v>
      </c>
      <c r="X56" s="10"/>
      <c r="Y56" s="11">
        <f t="shared" si="6"/>
        <v>1.0858081100906247E-10</v>
      </c>
      <c r="Z56" s="11">
        <f t="shared" si="7"/>
        <v>1.1732848026468901E-10</v>
      </c>
      <c r="AA56" s="11">
        <f t="shared" si="8"/>
        <v>3.3076208438842514E-11</v>
      </c>
      <c r="AB56" s="11">
        <f t="shared" si="9"/>
        <v>2.3784574310070639E-10</v>
      </c>
      <c r="AD56" s="11" t="b">
        <f t="shared" si="10"/>
        <v>1</v>
      </c>
      <c r="AF56" s="20">
        <f t="shared" si="11"/>
        <v>0.99999999989999999</v>
      </c>
      <c r="AG56" s="20">
        <f t="shared" si="12"/>
        <v>1</v>
      </c>
      <c r="AH56" s="20">
        <f t="shared" si="13"/>
        <v>1</v>
      </c>
    </row>
    <row r="57" spans="1:34" x14ac:dyDescent="0.3">
      <c r="A57" t="s">
        <v>30</v>
      </c>
      <c r="B57" s="6">
        <v>0.76517737539999997</v>
      </c>
      <c r="C57" s="6">
        <v>7.6175036799999998E-2</v>
      </c>
      <c r="D57" s="6">
        <v>6.8842603899999993E-2</v>
      </c>
      <c r="E57" s="6">
        <v>8.9804983899999996E-2</v>
      </c>
      <c r="F57" s="6">
        <v>0.81774081740000004</v>
      </c>
      <c r="G57" s="6">
        <v>6.4069392099999997E-2</v>
      </c>
      <c r="H57" s="6">
        <v>3.16244148E-2</v>
      </c>
      <c r="I57" s="6">
        <v>8.6565375799999997E-2</v>
      </c>
      <c r="J57" s="6">
        <v>0.18400866699999999</v>
      </c>
      <c r="K57" s="6">
        <v>0.21002133140000001</v>
      </c>
      <c r="L57" s="6">
        <v>0.48034622830000001</v>
      </c>
      <c r="M57" s="6">
        <v>0.12562377329999999</v>
      </c>
      <c r="N57" s="7">
        <v>0.91705732159999997</v>
      </c>
      <c r="O57" s="8">
        <v>0.18484209130000001</v>
      </c>
      <c r="P57" s="7">
        <v>0.59068541480000003</v>
      </c>
      <c r="Q57" s="8">
        <v>0.91024176629999998</v>
      </c>
      <c r="T57" s="11">
        <f t="shared" si="2"/>
        <v>0.91705732150905872</v>
      </c>
      <c r="U57" s="11">
        <f t="shared" si="3"/>
        <v>0.91705732203313062</v>
      </c>
      <c r="V57" s="11">
        <f t="shared" si="4"/>
        <v>0.91705732152912145</v>
      </c>
      <c r="W57" s="11">
        <f t="shared" si="5"/>
        <v>0.9170573216681509</v>
      </c>
      <c r="X57" s="10"/>
      <c r="Y57" s="11">
        <f t="shared" si="6"/>
        <v>9.0941254526910598E-11</v>
      </c>
      <c r="Z57" s="11">
        <f t="shared" si="7"/>
        <v>4.3313064246319755E-10</v>
      </c>
      <c r="AA57" s="11">
        <f t="shared" si="8"/>
        <v>7.0878525271211856E-11</v>
      </c>
      <c r="AB57" s="11">
        <f t="shared" si="9"/>
        <v>6.8150929344312772E-11</v>
      </c>
      <c r="AD57" s="11" t="b">
        <f t="shared" si="10"/>
        <v>1</v>
      </c>
      <c r="AF57" s="20">
        <f t="shared" si="11"/>
        <v>1</v>
      </c>
      <c r="AG57" s="20">
        <f t="shared" si="12"/>
        <v>1.0000000001</v>
      </c>
      <c r="AH57" s="20">
        <f t="shared" si="13"/>
        <v>0.99999999999999989</v>
      </c>
    </row>
    <row r="58" spans="1:34" x14ac:dyDescent="0.3">
      <c r="A58" t="s">
        <v>30</v>
      </c>
      <c r="B58" s="6">
        <v>0.76517737539999997</v>
      </c>
      <c r="C58" s="6">
        <v>7.6175036799999998E-2</v>
      </c>
      <c r="D58" s="6">
        <v>6.8842603899999993E-2</v>
      </c>
      <c r="E58" s="6">
        <v>8.9804983899999996E-2</v>
      </c>
      <c r="F58" s="6">
        <v>0.90657849720000006</v>
      </c>
      <c r="G58" s="6">
        <v>2.2550746E-2</v>
      </c>
      <c r="H58" s="6">
        <v>0</v>
      </c>
      <c r="I58" s="6">
        <v>7.0870756800000004E-2</v>
      </c>
      <c r="J58" s="6">
        <v>0.2776515256</v>
      </c>
      <c r="K58" s="6">
        <v>0.26106202789999999</v>
      </c>
      <c r="L58" s="6">
        <v>0.30619962439999998</v>
      </c>
      <c r="M58" s="6">
        <v>0.15508682209999999</v>
      </c>
      <c r="N58" s="7">
        <v>0.77517084140000003</v>
      </c>
      <c r="O58" s="8">
        <v>0.50517434719999998</v>
      </c>
      <c r="P58" s="7">
        <v>0.59068541480000003</v>
      </c>
      <c r="Q58" s="8">
        <v>0.91024176629999998</v>
      </c>
      <c r="T58" s="11">
        <f t="shared" si="2"/>
        <v>0.77517084147262205</v>
      </c>
      <c r="U58" s="11">
        <f t="shared" si="3"/>
        <v>0.77517084150978277</v>
      </c>
      <c r="V58" s="11">
        <f t="shared" si="4"/>
        <v>0.77517084145711312</v>
      </c>
      <c r="W58" s="11">
        <f t="shared" si="5"/>
        <v>0.77517084142376813</v>
      </c>
      <c r="X58" s="10"/>
      <c r="Y58" s="11">
        <f t="shared" si="6"/>
        <v>7.2622019509083202E-11</v>
      </c>
      <c r="Z58" s="11">
        <f t="shared" si="7"/>
        <v>1.0978273845552167E-10</v>
      </c>
      <c r="AA58" s="11">
        <f t="shared" si="8"/>
        <v>5.7113092033489465E-11</v>
      </c>
      <c r="AB58" s="11">
        <f t="shared" si="9"/>
        <v>2.3768098600385201E-11</v>
      </c>
      <c r="AD58" s="11" t="b">
        <f t="shared" si="10"/>
        <v>1</v>
      </c>
      <c r="AF58" s="20">
        <f t="shared" si="11"/>
        <v>1</v>
      </c>
      <c r="AG58" s="20">
        <f t="shared" si="12"/>
        <v>1</v>
      </c>
      <c r="AH58" s="20">
        <f t="shared" si="13"/>
        <v>1</v>
      </c>
    </row>
    <row r="59" spans="1:34" x14ac:dyDescent="0.3">
      <c r="A59" t="s">
        <v>30</v>
      </c>
      <c r="B59" s="6">
        <v>0.76517737539999997</v>
      </c>
      <c r="C59" s="6">
        <v>7.6175036799999998E-2</v>
      </c>
      <c r="D59" s="6">
        <v>6.8842603899999993E-2</v>
      </c>
      <c r="E59" s="6">
        <v>8.9804983899999996E-2</v>
      </c>
      <c r="F59" s="6">
        <v>0.9587673297</v>
      </c>
      <c r="G59" s="6">
        <v>0</v>
      </c>
      <c r="H59" s="6">
        <v>0</v>
      </c>
      <c r="I59" s="6">
        <v>4.1232670300000003E-2</v>
      </c>
      <c r="J59" s="6">
        <v>0.35423862560000002</v>
      </c>
      <c r="K59" s="6">
        <v>0.23787389410000001</v>
      </c>
      <c r="L59" s="6">
        <v>0.2149767031</v>
      </c>
      <c r="M59" s="6">
        <v>0.19291077719999999</v>
      </c>
      <c r="N59" s="7">
        <v>0.67976714250000003</v>
      </c>
      <c r="O59" s="8">
        <v>0.71778384009999996</v>
      </c>
      <c r="P59" s="7">
        <v>0.59068541480000003</v>
      </c>
      <c r="Q59" s="8">
        <v>0.91024176629999998</v>
      </c>
      <c r="T59" s="11">
        <f t="shared" si="2"/>
        <v>0.6797671425905083</v>
      </c>
      <c r="U59" s="11">
        <f t="shared" si="3"/>
        <v>0.67976714263576687</v>
      </c>
      <c r="V59" s="11">
        <f t="shared" si="4"/>
        <v>0.67976714263788529</v>
      </c>
      <c r="W59" s="11">
        <f t="shared" si="5"/>
        <v>0.67976714245238246</v>
      </c>
      <c r="X59" s="10"/>
      <c r="Y59" s="11">
        <f t="shared" si="6"/>
        <v>9.0508267547306787E-11</v>
      </c>
      <c r="Z59" s="11">
        <f t="shared" si="7"/>
        <v>1.3576684221305868E-10</v>
      </c>
      <c r="AA59" s="11">
        <f t="shared" si="8"/>
        <v>1.3788525876634594E-10</v>
      </c>
      <c r="AB59" s="11">
        <f t="shared" si="9"/>
        <v>4.7617576548475427E-11</v>
      </c>
      <c r="AD59" s="11" t="b">
        <f t="shared" si="10"/>
        <v>1</v>
      </c>
      <c r="AF59" s="20">
        <f t="shared" si="11"/>
        <v>1</v>
      </c>
      <c r="AG59" s="20">
        <f t="shared" si="12"/>
        <v>1</v>
      </c>
      <c r="AH59" s="20">
        <f t="shared" si="13"/>
        <v>1</v>
      </c>
    </row>
    <row r="60" spans="1:34" x14ac:dyDescent="0.3">
      <c r="A60" t="s">
        <v>31</v>
      </c>
      <c r="B60" s="6">
        <v>0.76839984979999998</v>
      </c>
      <c r="C60" s="6">
        <v>7.76340576E-2</v>
      </c>
      <c r="D60" s="6">
        <v>5.7784488000000002E-2</v>
      </c>
      <c r="E60" s="6">
        <v>9.6181604599999998E-2</v>
      </c>
      <c r="F60" s="6">
        <v>0.8152419058</v>
      </c>
      <c r="G60" s="6">
        <v>7.2438225999999994E-2</v>
      </c>
      <c r="H60" s="6">
        <v>4.43346435E-2</v>
      </c>
      <c r="I60" s="6">
        <v>6.7985224699999999E-2</v>
      </c>
      <c r="J60" s="6">
        <v>0</v>
      </c>
      <c r="K60" s="6">
        <v>0.16341277979999999</v>
      </c>
      <c r="L60" s="6">
        <v>0.27982988260000002</v>
      </c>
      <c r="M60" s="6">
        <v>0.56167964599999998</v>
      </c>
      <c r="N60" s="7">
        <v>0.94288697899999996</v>
      </c>
      <c r="O60" s="8">
        <v>0.1156849632</v>
      </c>
      <c r="P60" s="7">
        <v>0.71511261380000002</v>
      </c>
      <c r="Q60" s="8">
        <v>0.51787268099999995</v>
      </c>
      <c r="T60" s="11">
        <f t="shared" si="2"/>
        <v>0.94254213912858942</v>
      </c>
      <c r="U60" s="11">
        <f t="shared" si="3"/>
        <v>0.94288697901808227</v>
      </c>
      <c r="V60" s="11">
        <f t="shared" si="4"/>
        <v>0.94288697915337172</v>
      </c>
      <c r="W60" s="11">
        <f t="shared" si="5"/>
        <v>0.94288697890133522</v>
      </c>
      <c r="X60" s="10"/>
      <c r="Y60" s="11">
        <f t="shared" si="6"/>
        <v>3.4483987141054051E-4</v>
      </c>
      <c r="Z60" s="11">
        <f t="shared" si="7"/>
        <v>1.8082313424372387E-11</v>
      </c>
      <c r="AA60" s="11">
        <f t="shared" si="8"/>
        <v>1.5337175973684225E-10</v>
      </c>
      <c r="AB60" s="11">
        <f t="shared" si="9"/>
        <v>9.8664743042320424E-11</v>
      </c>
      <c r="AD60" s="11" t="b">
        <f t="shared" si="10"/>
        <v>1</v>
      </c>
      <c r="AF60" s="20">
        <f t="shared" si="11"/>
        <v>1</v>
      </c>
      <c r="AG60" s="20">
        <f t="shared" si="12"/>
        <v>1</v>
      </c>
      <c r="AH60" s="20">
        <f t="shared" si="13"/>
        <v>1.0049223083999999</v>
      </c>
    </row>
    <row r="61" spans="1:34" x14ac:dyDescent="0.3">
      <c r="A61" t="s">
        <v>31</v>
      </c>
      <c r="B61" s="6">
        <v>0.76839984979999998</v>
      </c>
      <c r="C61" s="6">
        <v>7.76340576E-2</v>
      </c>
      <c r="D61" s="6">
        <v>5.7784488000000002E-2</v>
      </c>
      <c r="E61" s="6">
        <v>9.6181604599999998E-2</v>
      </c>
      <c r="F61" s="6">
        <v>0.89673000150000004</v>
      </c>
      <c r="G61" s="6">
        <v>6.3399373699999997E-2</v>
      </c>
      <c r="H61" s="6">
        <v>2.0936818699999998E-2</v>
      </c>
      <c r="I61" s="6">
        <v>1.8933806099999999E-2</v>
      </c>
      <c r="J61" s="6">
        <v>7.6565787299999993E-2</v>
      </c>
      <c r="K61" s="6">
        <v>0.15437392750000001</v>
      </c>
      <c r="L61" s="6">
        <v>0.2564320578</v>
      </c>
      <c r="M61" s="6">
        <v>0.51262822730000002</v>
      </c>
      <c r="N61" s="7">
        <v>0.84353114959999997</v>
      </c>
      <c r="O61" s="8">
        <v>0.31693461299999998</v>
      </c>
      <c r="P61" s="7">
        <v>0.71511261380000002</v>
      </c>
      <c r="Q61" s="8">
        <v>0.51787268099999995</v>
      </c>
      <c r="T61" s="11">
        <f t="shared" si="2"/>
        <v>0.84353114964278819</v>
      </c>
      <c r="U61" s="11">
        <f t="shared" si="3"/>
        <v>0.84353114903653414</v>
      </c>
      <c r="V61" s="11">
        <f t="shared" si="4"/>
        <v>0.84353114975563004</v>
      </c>
      <c r="W61" s="11">
        <f t="shared" si="5"/>
        <v>0.84353114966898468</v>
      </c>
      <c r="X61" s="10"/>
      <c r="Y61" s="11">
        <f t="shared" si="6"/>
        <v>4.2788217413658458E-11</v>
      </c>
      <c r="Z61" s="11">
        <f t="shared" si="7"/>
        <v>5.6346582955058011E-10</v>
      </c>
      <c r="AA61" s="11">
        <f t="shared" si="8"/>
        <v>1.5563006439123228E-10</v>
      </c>
      <c r="AB61" s="11">
        <f t="shared" si="9"/>
        <v>6.8984706835806264E-11</v>
      </c>
      <c r="AD61" s="11" t="b">
        <f t="shared" si="10"/>
        <v>1</v>
      </c>
      <c r="AF61" s="20">
        <f t="shared" si="11"/>
        <v>1</v>
      </c>
      <c r="AG61" s="20">
        <f t="shared" si="12"/>
        <v>1</v>
      </c>
      <c r="AH61" s="20">
        <f t="shared" si="13"/>
        <v>0.99999999989999999</v>
      </c>
    </row>
    <row r="62" spans="1:34" x14ac:dyDescent="0.3">
      <c r="A62" t="s">
        <v>31</v>
      </c>
      <c r="B62" s="6">
        <v>0.76839984979999998</v>
      </c>
      <c r="C62" s="6">
        <v>7.76340576E-2</v>
      </c>
      <c r="D62" s="6">
        <v>5.7784488000000002E-2</v>
      </c>
      <c r="E62" s="6">
        <v>9.6181604599999998E-2</v>
      </c>
      <c r="F62" s="6">
        <v>0.93623399039999999</v>
      </c>
      <c r="G62" s="6">
        <v>5.7339509300000001E-2</v>
      </c>
      <c r="H62" s="6">
        <v>6.4265004000000001E-3</v>
      </c>
      <c r="I62" s="6">
        <v>0</v>
      </c>
      <c r="J62" s="6">
        <v>0.1116305381</v>
      </c>
      <c r="K62" s="6">
        <v>0.157050775</v>
      </c>
      <c r="L62" s="6">
        <v>0.2587587958</v>
      </c>
      <c r="M62" s="6">
        <v>0.47255989120000003</v>
      </c>
      <c r="N62" s="7">
        <v>0.79646684710000004</v>
      </c>
      <c r="O62" s="8">
        <v>0.40847336610000001</v>
      </c>
      <c r="P62" s="7">
        <v>0.71511261380000002</v>
      </c>
      <c r="Q62" s="8">
        <v>0.51787268099999995</v>
      </c>
      <c r="T62" s="11">
        <f t="shared" si="2"/>
        <v>0.79646684702583559</v>
      </c>
      <c r="U62" s="11">
        <f t="shared" si="3"/>
        <v>0.79646684697534642</v>
      </c>
      <c r="V62" s="11">
        <f t="shared" si="4"/>
        <v>0.79646684734275985</v>
      </c>
      <c r="W62" s="11">
        <f t="shared" si="5"/>
        <v>0.79646684707887461</v>
      </c>
      <c r="X62" s="10"/>
      <c r="Y62" s="11">
        <f t="shared" si="6"/>
        <v>7.4164452357194932E-11</v>
      </c>
      <c r="Z62" s="11">
        <f t="shared" si="7"/>
        <v>1.2465362075886333E-10</v>
      </c>
      <c r="AA62" s="11">
        <f t="shared" si="8"/>
        <v>2.4275981225230225E-10</v>
      </c>
      <c r="AB62" s="11">
        <f t="shared" si="9"/>
        <v>2.1125434734869941E-11</v>
      </c>
      <c r="AD62" s="11" t="b">
        <f t="shared" si="10"/>
        <v>1</v>
      </c>
      <c r="AF62" s="20">
        <f t="shared" si="11"/>
        <v>1</v>
      </c>
      <c r="AG62" s="20">
        <f t="shared" si="12"/>
        <v>1.0000000001</v>
      </c>
      <c r="AH62" s="20">
        <f t="shared" si="13"/>
        <v>1.0000000001</v>
      </c>
    </row>
    <row r="63" spans="1:34" x14ac:dyDescent="0.3">
      <c r="T63" s="7"/>
      <c r="U63" s="7"/>
      <c r="V63" s="7"/>
      <c r="W63" s="7"/>
    </row>
  </sheetData>
  <mergeCells count="6">
    <mergeCell ref="AF1:AH1"/>
    <mergeCell ref="J1:M1"/>
    <mergeCell ref="B1:E1"/>
    <mergeCell ref="F1:I1"/>
    <mergeCell ref="T1:W1"/>
    <mergeCell ref="Y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slice_records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Smith</cp:lastModifiedBy>
  <dcterms:created xsi:type="dcterms:W3CDTF">2026-08-23T08:29:23Z</dcterms:created>
  <dcterms:modified xsi:type="dcterms:W3CDTF">2026-08-23T09:53:35Z</dcterms:modified>
</cp:coreProperties>
</file>